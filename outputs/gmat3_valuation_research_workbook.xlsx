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er Group" sheetId="2" state="visible" r:id="rId2"/>
    <sheet name="Multiplos" sheetId="3" state="visible" r:id="rId3"/>
    <sheet name="Valuation" sheetId="4" state="visible" r:id="rId4"/>
    <sheet name="Lucro Setor" sheetId="5" state="visible" r:id="rId5"/>
    <sheet name="Sensibilidade" sheetId="6" state="visible" r:id="rId6"/>
    <sheet name="Operacional" sheetId="7" state="visible" r:id="rId7"/>
    <sheet name="Fontes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R$0.00"/>
    <numFmt numFmtId="165" formatCode="0.0%"/>
    <numFmt numFmtId="166" formatCode="0.0x"/>
    <numFmt numFmtId="167" formatCode="R$#,##0"/>
    <numFmt numFmtId="168" formatCode="0.0"/>
    <numFmt numFmtId="169" formatCode="R$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</font>
    <font>
      <name val="Arial"/>
      <b val="1"/>
      <color rgb="00FFFFFF"/>
      <sz val="10"/>
    </font>
    <font>
      <name val="Arial"/>
      <b val="1"/>
      <color rgb="000000FF"/>
    </font>
    <font>
      <name val="Arial"/>
      <sz val="10"/>
    </font>
    <font>
      <name val="Arial"/>
      <color theme="1"/>
      <sz val="10"/>
    </font>
    <font>
      <name val="Arial"/>
      <b val="1"/>
      <sz val="10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3F6F8"/>
      </patternFill>
    </fill>
    <fill>
      <patternFill patternType="solid">
        <fgColor rgb="001F4E79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5" fillId="3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6" fontId="5" fillId="4" borderId="1" applyAlignment="1" pivotButton="0" quotePrefix="0" xfId="0">
      <alignment vertical="top" wrapText="1"/>
    </xf>
    <xf numFmtId="0" fontId="1" fillId="2" borderId="0" pivotButton="0" quotePrefix="0" xfId="0"/>
    <xf numFmtId="0" fontId="3" fillId="4" borderId="1" applyAlignment="1" pivotButton="0" quotePrefix="0" xfId="0">
      <alignment horizontal="center" wrapText="1"/>
    </xf>
    <xf numFmtId="0" fontId="2" fillId="5" borderId="0" pivotButton="0" quotePrefix="0" xfId="0"/>
    <xf numFmtId="167" fontId="4" fillId="0" borderId="0" pivotButton="0" quotePrefix="0" xfId="0"/>
    <xf numFmtId="0" fontId="3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7" fontId="6" fillId="0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0" applyAlignment="1" pivotButton="0" quotePrefix="0" xfId="0">
      <alignment wrapText="1"/>
    </xf>
    <xf numFmtId="168" fontId="5" fillId="0" borderId="1" applyAlignment="1" pivotButton="0" quotePrefix="0" xfId="0">
      <alignment vertical="top" wrapText="1"/>
    </xf>
    <xf numFmtId="16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572000" cy="2667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2</row>
      <rowOff>0</rowOff>
    </from>
    <ext cx="4572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21</row>
      <rowOff>0</rowOff>
    </from>
    <ext cx="4572000" cy="2667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21</row>
      <rowOff>0</rowOff>
    </from>
    <ext cx="4572000" cy="2667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40</row>
      <rowOff>0</rowOff>
    </from>
    <ext cx="4572000" cy="2667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GMAT3 | Valuation por Multiplos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3" t="inlineStr">
        <is>
          <t>Tese: GMAT3 parece moderadamente descontada frente a peers LatAm saudáveis, mas o 1T26 reduz a convicção por SSS negativo, deflação alimentar e trade-off entre margem e volume.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Metrica</t>
        </is>
      </c>
      <c r="B5" s="4" t="inlineStr">
        <is>
          <t>Valor</t>
        </is>
      </c>
      <c r="C5" s="2" t="n"/>
      <c r="D5" s="4" t="inlineStr">
        <is>
          <t>Ponto</t>
        </is>
      </c>
      <c r="E5" s="4" t="inlineStr">
        <is>
          <t>Conclusao</t>
        </is>
      </c>
      <c r="F5" s="4" t="inlineStr">
        <is>
          <t>Implicacao</t>
        </is>
      </c>
      <c r="G5" s="4" t="inlineStr">
        <is>
          <t>Risco</t>
        </is>
      </c>
      <c r="H5" s="4" t="inlineStr">
        <is>
          <t>Uso no slide</t>
        </is>
      </c>
    </row>
    <row r="6">
      <c r="A6" s="5" t="inlineStr">
        <is>
          <t>Preco atual</t>
        </is>
      </c>
      <c r="B6" s="6">
        <f>'Valuation'!I7</f>
        <v/>
      </c>
      <c r="C6" s="2" t="n"/>
      <c r="D6" s="7" t="inlineStr">
        <is>
          <t>Peer group</t>
        </is>
      </c>
      <c r="E6" s="7" t="inlineStr">
        <is>
          <t>Assai e o par local mais limpo; GPA e stress.</t>
        </is>
      </c>
      <c r="F6" s="7" t="inlineStr">
        <is>
          <t>Mediana domestica simples subestima GMAT3.</t>
        </is>
      </c>
      <c r="G6" s="7" t="inlineStr">
        <is>
          <t>Amostra Brasil pequena.</t>
        </is>
      </c>
      <c r="H6" s="7" t="inlineStr">
        <is>
          <t>Mostrar inclusao/exclusao.</t>
        </is>
      </c>
    </row>
    <row r="7">
      <c r="A7" s="5" t="inlineStr">
        <is>
          <t>Preco justo base</t>
        </is>
      </c>
      <c r="B7" s="6">
        <f>'Valuation'!H7</f>
        <v/>
      </c>
      <c r="C7" s="2" t="n"/>
      <c r="D7" s="7" t="inlineStr">
        <is>
          <t>Spread</t>
        </is>
      </c>
      <c r="E7" s="7" t="inlineStr">
        <is>
          <t>GMAT3 negocia perto de Assai e abaixo do LatAm ex-distressed.</t>
        </is>
      </c>
      <c r="F7" s="7" t="inlineStr">
        <is>
          <t>Upside moderado, nao agressivo.</t>
        </is>
      </c>
      <c r="G7" s="7" t="inlineStr">
        <is>
          <t>LatAm tem diferencas de pais e escala.</t>
        </is>
      </c>
      <c r="H7" s="7" t="inlineStr">
        <is>
          <t>Usar grafico EV/EBITDA.</t>
        </is>
      </c>
    </row>
    <row r="8">
      <c r="A8" s="5" t="inlineStr">
        <is>
          <t>Upside / downside</t>
        </is>
      </c>
      <c r="B8" s="8">
        <f>'Valuation'!J7</f>
        <v/>
      </c>
      <c r="C8" s="2" t="n"/>
      <c r="D8" s="7" t="inlineStr">
        <is>
          <t>Operacional</t>
        </is>
      </c>
      <c r="E8" s="7" t="inlineStr">
        <is>
          <t>Tese depende de expansao, maturacao e logistica.</t>
        </is>
      </c>
      <c r="F8" s="7" t="inlineStr">
        <is>
          <t>Multiplo maior exige execucao.</t>
        </is>
      </c>
      <c r="G8" s="7" t="inlineStr">
        <is>
          <t>Competicao no atacarejo pressiona margem.</t>
        </is>
      </c>
      <c r="H8" s="7" t="inlineStr">
        <is>
          <t>Conectar numeros com varejo.</t>
        </is>
      </c>
    </row>
    <row r="9">
      <c r="A9" s="5" t="inlineStr">
        <is>
          <t>EV/EBITDA aplicado</t>
        </is>
      </c>
      <c r="B9" s="9">
        <f>'Valuation'!B7</f>
        <v/>
      </c>
      <c r="C9" s="2" t="n"/>
      <c r="D9" s="2" t="n"/>
      <c r="E9" s="2" t="n"/>
      <c r="F9" s="2" t="n"/>
      <c r="G9" s="2" t="n"/>
      <c r="H9" s="2" t="n"/>
    </row>
    <row r="10">
      <c r="A10" s="5" t="inlineStr">
        <is>
          <t>P/L GMAT3</t>
        </is>
      </c>
      <c r="B10" s="9">
        <f>'Multiplos'!F6</f>
        <v/>
      </c>
      <c r="C10" s="2" t="n"/>
      <c r="D10" s="2" t="n"/>
      <c r="E10" s="2" t="n"/>
      <c r="F10" s="2" t="n"/>
      <c r="G10" s="2" t="n"/>
      <c r="H10" s="2" t="n"/>
    </row>
    <row r="11">
      <c r="A11" s="5" t="inlineStr">
        <is>
          <t>EBITDA anualizado</t>
        </is>
      </c>
      <c r="B11" s="10">
        <f>'Valuation'!C7</f>
        <v/>
      </c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4" t="inlineStr">
        <is>
          <t>Cenario</t>
        </is>
      </c>
      <c r="B14" s="4" t="inlineStr">
        <is>
          <t>Multiplo</t>
        </is>
      </c>
      <c r="C14" s="4" t="inlineStr">
        <is>
          <t>Preco justo</t>
        </is>
      </c>
      <c r="D14" s="4" t="inlineStr">
        <is>
          <t>Upside</t>
        </is>
      </c>
      <c r="E14" s="4" t="inlineStr">
        <is>
          <t>Leitura</t>
        </is>
      </c>
      <c r="F14" s="2" t="n"/>
      <c r="G14" s="2" t="n"/>
      <c r="H14" s="2" t="n"/>
    </row>
    <row r="15">
      <c r="A15" s="7" t="inlineStr">
        <is>
          <t>Baixo / Brasil com GPA</t>
        </is>
      </c>
      <c r="B15" s="9">
        <f>'Valuation'!B5</f>
        <v/>
      </c>
      <c r="C15" s="6">
        <f>'Valuation'!H5</f>
        <v/>
      </c>
      <c r="D15" s="8">
        <f>'Valuation'!J5</f>
        <v/>
      </c>
      <c r="E15" s="7" t="inlineStr">
        <is>
          <t>GPA puxa a mediana para baixo.</t>
        </is>
      </c>
      <c r="F15" s="2" t="n"/>
      <c r="G15" s="2" t="n"/>
      <c r="H15" s="2" t="n"/>
    </row>
    <row r="16">
      <c r="A16" s="7" t="inlineStr">
        <is>
          <t>Base / LatAm ex-distressed</t>
        </is>
      </c>
      <c r="B16" s="9">
        <f>'Valuation'!B7</f>
        <v/>
      </c>
      <c r="C16" s="6">
        <f>'Valuation'!H7</f>
        <v/>
      </c>
      <c r="D16" s="8">
        <f>'Valuation'!J7</f>
        <v/>
      </c>
      <c r="E16" s="7" t="inlineStr">
        <is>
          <t>Melhor equilibrio entre amostra e qualidade.</t>
        </is>
      </c>
      <c r="F16" s="2" t="n"/>
      <c r="G16" s="2" t="n"/>
      <c r="H16" s="2" t="n"/>
    </row>
    <row r="17">
      <c r="A17" s="7" t="inlineStr">
        <is>
          <t>Alto / re-rating</t>
        </is>
      </c>
      <c r="B17" s="9">
        <f>'Valuation'!B9</f>
        <v/>
      </c>
      <c r="C17" s="6">
        <f>'Valuation'!H9</f>
        <v/>
      </c>
      <c r="D17" s="8">
        <f>'Valuation'!J9</f>
        <v/>
      </c>
      <c r="E17" s="7" t="inlineStr">
        <is>
          <t>Depende de execucao acima do esperado.</t>
        </is>
      </c>
      <c r="F17" s="2" t="n"/>
      <c r="G17" s="2" t="n"/>
      <c r="H17" s="2" t="n"/>
    </row>
    <row r="20">
      <c r="A20" s="15" t="inlineStr">
        <is>
          <t>Lucro liquido setorial Brasil incl. GPA</t>
        </is>
      </c>
      <c r="B20" s="16">
        <f>'Lucro Setor'!F6</f>
        <v/>
      </c>
    </row>
    <row r="21">
      <c r="A21" s="15" t="inlineStr">
        <is>
          <t>Lucro liquido setorial Brasil ex-GPA</t>
        </is>
      </c>
      <c r="B21" s="16">
        <f>'Lucro Setor'!F8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Peer Group e Tratamento Analitico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Ticker</t>
        </is>
      </c>
      <c r="B3" s="4" t="inlineStr">
        <is>
          <t>Empresa</t>
        </is>
      </c>
      <c r="C3" s="4" t="inlineStr">
        <is>
          <t>Pais</t>
        </is>
      </c>
      <c r="D3" s="4" t="inlineStr">
        <is>
          <t>Bolsa</t>
        </is>
      </c>
      <c r="E3" s="4" t="inlineStr">
        <is>
          <t>Moeda</t>
        </is>
      </c>
      <c r="F3" s="4" t="inlineStr">
        <is>
          <t>Segmento</t>
        </is>
      </c>
      <c r="G3" s="4" t="inlineStr">
        <is>
          <t>Papel</t>
        </is>
      </c>
      <c r="H3" s="4" t="inlineStr">
        <is>
          <t>Qualidade</t>
        </is>
      </c>
      <c r="I3" s="4" t="inlineStr">
        <is>
          <t>Entra no calculo?</t>
        </is>
      </c>
      <c r="J3" s="4" t="inlineStr">
        <is>
          <t>Justificativa</t>
        </is>
      </c>
    </row>
    <row r="4">
      <c r="A4" s="7" t="inlineStr">
        <is>
          <t>GMAT3.SA</t>
        </is>
      </c>
      <c r="B4" s="7" t="inlineStr">
        <is>
          <t>Grupo Mateus</t>
        </is>
      </c>
      <c r="C4" s="7" t="inlineStr">
        <is>
          <t>Brazil</t>
        </is>
      </c>
      <c r="D4" s="7" t="inlineStr">
        <is>
          <t>B3</t>
        </is>
      </c>
      <c r="E4" s="7" t="inlineStr">
        <is>
          <t>BRL</t>
        </is>
      </c>
      <c r="F4" s="7" t="inlineStr">
        <is>
          <t>Food Retail and Cash &amp; Carry</t>
        </is>
      </c>
      <c r="G4" s="7" t="inlineStr">
        <is>
          <t>Target</t>
        </is>
      </c>
      <c r="H4" s="7" t="inlineStr">
        <is>
          <t>Target</t>
        </is>
      </c>
      <c r="I4" s="7" t="b">
        <v>0</v>
      </c>
      <c r="J4" s="7" t="inlineStr">
        <is>
          <t>Target company to be valued</t>
        </is>
      </c>
    </row>
    <row r="5">
      <c r="A5" s="7" t="inlineStr">
        <is>
          <t>ASAI3.SA</t>
        </is>
      </c>
      <c r="B5" s="7" t="inlineStr">
        <is>
          <t>Assai</t>
        </is>
      </c>
      <c r="C5" s="7" t="inlineStr">
        <is>
          <t>Brazil</t>
        </is>
      </c>
      <c r="D5" s="7" t="inlineStr">
        <is>
          <t>B3</t>
        </is>
      </c>
      <c r="E5" s="7" t="inlineStr">
        <is>
          <t>BRL</t>
        </is>
      </c>
      <c r="F5" s="7" t="inlineStr">
        <is>
          <t>Cash &amp; Carry</t>
        </is>
      </c>
      <c r="G5" s="7" t="inlineStr">
        <is>
          <t>Domestic Core Peer</t>
        </is>
      </c>
      <c r="H5" s="7" t="inlineStr">
        <is>
          <t>Core Peer</t>
        </is>
      </c>
      <c r="I5" s="7" t="b">
        <v>1</v>
      </c>
      <c r="J5" s="7" t="inlineStr">
        <is>
          <t>Closest listed Brazilian cash and carry comparable</t>
        </is>
      </c>
    </row>
    <row r="6">
      <c r="A6" s="7" t="inlineStr">
        <is>
          <t>PCAR3.SA</t>
        </is>
      </c>
      <c r="B6" s="7" t="inlineStr">
        <is>
          <t>GPA</t>
        </is>
      </c>
      <c r="C6" s="7" t="inlineStr">
        <is>
          <t>Brazil</t>
        </is>
      </c>
      <c r="D6" s="7" t="inlineStr">
        <is>
          <t>B3</t>
        </is>
      </c>
      <c r="E6" s="7" t="inlineStr">
        <is>
          <t>BRL</t>
        </is>
      </c>
      <c r="F6" s="7" t="inlineStr">
        <is>
          <t>Food Retail</t>
        </is>
      </c>
      <c r="G6" s="7" t="inlineStr">
        <is>
          <t>Domestic Distressed Peer</t>
        </is>
      </c>
      <c r="H6" s="7" t="inlineStr">
        <is>
          <t>Distressed / Turnaround Peer</t>
        </is>
      </c>
      <c r="I6" s="7" t="b">
        <v>1</v>
      </c>
      <c r="J6" s="7" t="inlineStr">
        <is>
          <t>Listed Brazilian food retail peer but distressed and should be scenario-tested</t>
        </is>
      </c>
    </row>
    <row r="7">
      <c r="A7" s="7" t="inlineStr">
        <is>
          <t>CRFB3.SA</t>
        </is>
      </c>
      <c r="B7" s="7" t="inlineStr">
        <is>
          <t>Carrefour Brasil / Atacadao</t>
        </is>
      </c>
      <c r="C7" s="7" t="inlineStr">
        <is>
          <t>Brazil</t>
        </is>
      </c>
      <c r="D7" s="7" t="inlineStr">
        <is>
          <t>B3 delisted</t>
        </is>
      </c>
      <c r="E7" s="7" t="inlineStr">
        <is>
          <t>BRL</t>
        </is>
      </c>
      <c r="F7" s="7" t="inlineStr">
        <is>
          <t>Food Retail and Cash &amp; Carry</t>
        </is>
      </c>
      <c r="G7" s="7" t="inlineStr">
        <is>
          <t>Domestic Operational Peer</t>
        </is>
      </c>
      <c r="H7" s="7" t="inlineStr">
        <is>
          <t>Delisted / Operational Reference</t>
        </is>
      </c>
      <c r="I7" s="7" t="b">
        <v>0</v>
      </c>
      <c r="J7" s="7" t="inlineStr">
        <is>
          <t>Operationally relevant but not a current trading comparable after delisting</t>
        </is>
      </c>
    </row>
    <row r="8">
      <c r="A8" s="7" t="inlineStr">
        <is>
          <t>WALMEX.MX</t>
        </is>
      </c>
      <c r="B8" s="7" t="inlineStr">
        <is>
          <t>Walmart de Mexico</t>
        </is>
      </c>
      <c r="C8" s="7" t="inlineStr">
        <is>
          <t>Mexico</t>
        </is>
      </c>
      <c r="D8" s="7" t="inlineStr">
        <is>
          <t>BMV</t>
        </is>
      </c>
      <c r="E8" s="7" t="inlineStr">
        <is>
          <t>MXN</t>
        </is>
      </c>
      <c r="F8" s="7" t="inlineStr">
        <is>
          <t>Food Retail and Clubs</t>
        </is>
      </c>
      <c r="G8" s="7" t="inlineStr">
        <is>
          <t>LatAm Peer</t>
        </is>
      </c>
      <c r="H8" s="7" t="inlineStr">
        <is>
          <t>High Quality LatAm Peer</t>
        </is>
      </c>
      <c r="I8" s="7" t="b">
        <v>1</v>
      </c>
      <c r="J8" s="7" t="inlineStr">
        <is>
          <t>Large LatAm food retail and club-store operator</t>
        </is>
      </c>
    </row>
    <row r="9">
      <c r="A9" s="7" t="inlineStr">
        <is>
          <t>CHDRAUIB.MX</t>
        </is>
      </c>
      <c r="B9" s="7" t="inlineStr">
        <is>
          <t>Grupo Comercial Chedraui</t>
        </is>
      </c>
      <c r="C9" s="7" t="inlineStr">
        <is>
          <t>Mexico</t>
        </is>
      </c>
      <c r="D9" s="7" t="inlineStr">
        <is>
          <t>BMV</t>
        </is>
      </c>
      <c r="E9" s="7" t="inlineStr">
        <is>
          <t>MXN</t>
        </is>
      </c>
      <c r="F9" s="7" t="inlineStr">
        <is>
          <t>Food Retail</t>
        </is>
      </c>
      <c r="G9" s="7" t="inlineStr">
        <is>
          <t>LatAm Peer</t>
        </is>
      </c>
      <c r="H9" s="7" t="inlineStr">
        <is>
          <t>LatAm Food Retail Peer</t>
        </is>
      </c>
      <c r="I9" s="7" t="b">
        <v>1</v>
      </c>
      <c r="J9" s="7" t="inlineStr">
        <is>
          <t>Mexican food retail operator with Mexico and US exposure</t>
        </is>
      </c>
    </row>
    <row r="10">
      <c r="A10" s="7" t="inlineStr">
        <is>
          <t>SORIANAB.MX</t>
        </is>
      </c>
      <c r="B10" s="7" t="inlineStr">
        <is>
          <t>Organizacion Soriana</t>
        </is>
      </c>
      <c r="C10" s="7" t="inlineStr">
        <is>
          <t>Mexico</t>
        </is>
      </c>
      <c r="D10" s="7" t="inlineStr">
        <is>
          <t>BMV</t>
        </is>
      </c>
      <c r="E10" s="7" t="inlineStr">
        <is>
          <t>MXN</t>
        </is>
      </c>
      <c r="F10" s="7" t="inlineStr">
        <is>
          <t>Food Retail</t>
        </is>
      </c>
      <c r="G10" s="7" t="inlineStr">
        <is>
          <t>LatAm Peer</t>
        </is>
      </c>
      <c r="H10" s="7" t="inlineStr">
        <is>
          <t>LatAm Food Retail Peer</t>
        </is>
      </c>
      <c r="I10" s="7" t="b">
        <v>1</v>
      </c>
      <c r="J10" s="7" t="inlineStr">
        <is>
          <t>Mexican supermarket and food retail operator</t>
        </is>
      </c>
    </row>
    <row r="11">
      <c r="A11" s="7" t="inlineStr">
        <is>
          <t>CENCOSUD.SN</t>
        </is>
      </c>
      <c r="B11" s="7" t="inlineStr">
        <is>
          <t>Cencosud</t>
        </is>
      </c>
      <c r="C11" s="7" t="inlineStr">
        <is>
          <t>Chile</t>
        </is>
      </c>
      <c r="D11" s="7" t="inlineStr">
        <is>
          <t>Santiago</t>
        </is>
      </c>
      <c r="E11" s="7" t="inlineStr">
        <is>
          <t>CLP</t>
        </is>
      </c>
      <c r="F11" s="7" t="inlineStr">
        <is>
          <t>Food Retail and Multi-format Retail</t>
        </is>
      </c>
      <c r="G11" s="7" t="inlineStr">
        <is>
          <t>LatAm Peer</t>
        </is>
      </c>
      <c r="H11" s="7" t="inlineStr">
        <is>
          <t>LatAm Multi-format Retail Peer</t>
        </is>
      </c>
      <c r="I11" s="7" t="b">
        <v>1</v>
      </c>
      <c r="J11" s="7" t="inlineStr">
        <is>
          <t>Large Chilean and regional retail operator with food retail exposure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Multiplos de Mercado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Ticker</t>
        </is>
      </c>
      <c r="B3" s="4" t="inlineStr">
        <is>
          <t>Empresa</t>
        </is>
      </c>
      <c r="C3" s="4" t="inlineStr">
        <is>
          <t>Pais</t>
        </is>
      </c>
      <c r="D3" s="4" t="inlineStr">
        <is>
          <t>Tipo</t>
        </is>
      </c>
      <c r="E3" s="4" t="inlineStr">
        <is>
          <t>EV/EBITDA</t>
        </is>
      </c>
      <c r="F3" s="4" t="inlineStr">
        <is>
          <t>P/L</t>
        </is>
      </c>
      <c r="G3" s="4" t="inlineStr">
        <is>
          <t>Status P/L</t>
        </is>
      </c>
      <c r="H3" s="4" t="inlineStr">
        <is>
          <t>Incluido?</t>
        </is>
      </c>
      <c r="I3" s="4" t="inlineStr">
        <is>
          <t>Fonte</t>
        </is>
      </c>
    </row>
    <row r="4">
      <c r="A4" s="7" t="inlineStr">
        <is>
          <t>PCAR3.SA</t>
        </is>
      </c>
      <c r="B4" s="7" t="inlineStr">
        <is>
          <t>GPA</t>
        </is>
      </c>
      <c r="C4" s="7" t="inlineStr">
        <is>
          <t>Brazil</t>
        </is>
      </c>
      <c r="D4" s="7" t="inlineStr">
        <is>
          <t>Distressed / Turnaround Peer</t>
        </is>
      </c>
      <c r="E4" s="9" t="n">
        <v>2.297464104803494</v>
      </c>
      <c r="F4" s="7" t="inlineStr">
        <is>
          <t>N.M.</t>
        </is>
      </c>
      <c r="G4" s="7" t="inlineStr">
        <is>
          <t>N.M. - negative earnings</t>
        </is>
      </c>
      <c r="H4" s="7" t="b">
        <v>1</v>
      </c>
      <c r="I4" s="7" t="inlineStr">
        <is>
          <t>notebook_01_annualized_1q26</t>
        </is>
      </c>
    </row>
    <row r="5">
      <c r="A5" s="7" t="inlineStr">
        <is>
          <t>ASAI3.SA</t>
        </is>
      </c>
      <c r="B5" s="7" t="inlineStr">
        <is>
          <t>Assai</t>
        </is>
      </c>
      <c r="C5" s="7" t="inlineStr">
        <is>
          <t>Brazil</t>
        </is>
      </c>
      <c r="D5" s="7" t="inlineStr">
        <is>
          <t>Core Peer</t>
        </is>
      </c>
      <c r="E5" s="9" t="n">
        <v>6.104796544</v>
      </c>
      <c r="F5" s="9" t="n">
        <v>17.83216404597701</v>
      </c>
      <c r="G5" s="7" t="inlineStr">
        <is>
          <t>Calculated</t>
        </is>
      </c>
      <c r="H5" s="7" t="b">
        <v>1</v>
      </c>
      <c r="I5" s="7" t="inlineStr">
        <is>
          <t>notebook_01_annualized_1q26</t>
        </is>
      </c>
    </row>
    <row r="6">
      <c r="A6" s="7" t="inlineStr">
        <is>
          <t>GMAT3.SA</t>
        </is>
      </c>
      <c r="B6" s="7" t="inlineStr">
        <is>
          <t>Grupo Mateus</t>
        </is>
      </c>
      <c r="C6" s="7" t="inlineStr">
        <is>
          <t>Brazil</t>
        </is>
      </c>
      <c r="D6" s="7" t="inlineStr">
        <is>
          <t>Target</t>
        </is>
      </c>
      <c r="E6" s="9" t="n">
        <v>6.583877119999999</v>
      </c>
      <c r="F6" s="9" t="n">
        <v>11.50023872300469</v>
      </c>
      <c r="G6" s="7" t="inlineStr">
        <is>
          <t>Calculated</t>
        </is>
      </c>
      <c r="H6" s="7" t="b">
        <v>0</v>
      </c>
      <c r="I6" s="7" t="inlineStr">
        <is>
          <t>notebook_01_annualized_1q26</t>
        </is>
      </c>
    </row>
    <row r="7">
      <c r="A7" s="7" t="inlineStr">
        <is>
          <t>CHDRAUIB.MX</t>
        </is>
      </c>
      <c r="B7" s="7" t="inlineStr">
        <is>
          <t>Grupo Comercial Chedraui</t>
        </is>
      </c>
      <c r="C7" s="7" t="inlineStr">
        <is>
          <t>Mexico</t>
        </is>
      </c>
      <c r="D7" s="7" t="inlineStr">
        <is>
          <t>LatAm Food Retail Peer</t>
        </is>
      </c>
      <c r="E7" s="9" t="n">
        <v>7.217</v>
      </c>
      <c r="F7" s="9" t="n">
        <v>14.390602</v>
      </c>
      <c r="G7" s="7" t="inlineStr">
        <is>
          <t>Calculated</t>
        </is>
      </c>
      <c r="H7" s="7" t="b">
        <v>1</v>
      </c>
      <c r="I7" s="7" t="inlineStr">
        <is>
          <t>yfinance</t>
        </is>
      </c>
    </row>
    <row r="8">
      <c r="A8" s="7" t="inlineStr">
        <is>
          <t>SORIANAB.MX</t>
        </is>
      </c>
      <c r="B8" s="7" t="inlineStr">
        <is>
          <t>Organizacion Soriana</t>
        </is>
      </c>
      <c r="C8" s="7" t="inlineStr">
        <is>
          <t>Mexico</t>
        </is>
      </c>
      <c r="D8" s="7" t="inlineStr">
        <is>
          <t>LatAm Food Retail Peer</t>
        </is>
      </c>
      <c r="E8" s="9" t="n">
        <v>7.398</v>
      </c>
      <c r="F8" s="9" t="n">
        <v>12.700729</v>
      </c>
      <c r="G8" s="7" t="inlineStr">
        <is>
          <t>Calculated</t>
        </is>
      </c>
      <c r="H8" s="7" t="b">
        <v>1</v>
      </c>
      <c r="I8" s="7" t="inlineStr">
        <is>
          <t>yfinance</t>
        </is>
      </c>
    </row>
    <row r="9">
      <c r="A9" s="7" t="inlineStr">
        <is>
          <t>WALMEX.MX</t>
        </is>
      </c>
      <c r="B9" s="7" t="inlineStr">
        <is>
          <t>Walmart de Mexico</t>
        </is>
      </c>
      <c r="C9" s="7" t="inlineStr">
        <is>
          <t>Mexico</t>
        </is>
      </c>
      <c r="D9" s="7" t="inlineStr">
        <is>
          <t>High Quality LatAm Peer</t>
        </is>
      </c>
      <c r="E9" s="9" t="n">
        <v>9.840999999999999</v>
      </c>
      <c r="F9" s="9" t="n">
        <v>18.222221</v>
      </c>
      <c r="G9" s="7" t="inlineStr">
        <is>
          <t>Calculated</t>
        </is>
      </c>
      <c r="H9" s="7" t="b">
        <v>1</v>
      </c>
      <c r="I9" s="7" t="inlineStr">
        <is>
          <t>yfinance</t>
        </is>
      </c>
    </row>
    <row r="10">
      <c r="A10" s="7" t="inlineStr">
        <is>
          <t>CENCOSUD.SN</t>
        </is>
      </c>
      <c r="B10" s="7" t="inlineStr">
        <is>
          <t>Cencosud</t>
        </is>
      </c>
      <c r="C10" s="7" t="inlineStr">
        <is>
          <t>Chile</t>
        </is>
      </c>
      <c r="D10" s="7" t="inlineStr">
        <is>
          <t>LatAm Multi-format Retail Peer</t>
        </is>
      </c>
      <c r="E10" s="9" t="n">
        <v>10.864</v>
      </c>
      <c r="F10" s="9" t="n">
        <v>20.70428</v>
      </c>
      <c r="G10" s="7" t="inlineStr">
        <is>
          <t>Calculated</t>
        </is>
      </c>
      <c r="H10" s="7" t="b">
        <v>1</v>
      </c>
      <c r="I10" s="7" t="inlineStr">
        <is>
          <t>yfinance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  <col width="42" customWidth="1" min="12" max="12"/>
  </cols>
  <sheetData>
    <row r="1">
      <c r="A1" s="1" t="inlineStr">
        <is>
          <t>Valuation por Multiplos | Ponte EV para Equity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Cenario</t>
        </is>
      </c>
      <c r="B3" s="4" t="inlineStr">
        <is>
          <t>Multiplo</t>
        </is>
      </c>
      <c r="C3" s="4" t="inlineStr">
        <is>
          <t>EBITDA</t>
        </is>
      </c>
      <c r="D3" s="4" t="inlineStr">
        <is>
          <t>EV implicito</t>
        </is>
      </c>
      <c r="E3" s="4" t="inlineStr">
        <is>
          <t>Divida liquida</t>
        </is>
      </c>
      <c r="F3" s="4" t="inlineStr">
        <is>
          <t>Equity value</t>
        </is>
      </c>
      <c r="G3" s="4" t="inlineStr">
        <is>
          <t>Acoes</t>
        </is>
      </c>
      <c r="H3" s="4" t="inlineStr">
        <is>
          <t>Preco justo</t>
        </is>
      </c>
      <c r="I3" s="4" t="inlineStr">
        <is>
          <t>Preco atual</t>
        </is>
      </c>
      <c r="J3" s="4" t="inlineStr">
        <is>
          <t>Upside</t>
        </is>
      </c>
      <c r="K3" s="4" t="inlineStr">
        <is>
          <t>Metodologia</t>
        </is>
      </c>
      <c r="L3" s="24" t="inlineStr">
        <is>
          <t>Leitura qualitativa</t>
        </is>
      </c>
    </row>
    <row r="4">
      <c r="A4" s="7" t="inlineStr">
        <is>
          <t>Conservative Case</t>
        </is>
      </c>
      <c r="B4" s="9" t="n">
        <v>6.382847408</v>
      </c>
      <c r="C4" s="10" t="n">
        <v>1600</v>
      </c>
      <c r="D4" s="10">
        <f>B4*C4</f>
        <v/>
      </c>
      <c r="E4" s="10" t="n">
        <v>736</v>
      </c>
      <c r="F4" s="10">
        <f>D4-E4</f>
        <v/>
      </c>
      <c r="G4" s="11" t="n">
        <v>2300047621</v>
      </c>
      <c r="H4" s="6">
        <f>F4*1000000/G4</f>
        <v/>
      </c>
      <c r="I4" s="6" t="n">
        <v>4.26</v>
      </c>
      <c r="J4" s="8">
        <f>H4/I4-1</f>
        <v/>
      </c>
      <c r="K4" s="7" t="inlineStr">
        <is>
          <t>25th percentile of full traded peer set, including GPA</t>
        </is>
      </c>
      <c r="L4" s="25" t="inlineStr">
        <is>
          <t>Stress case: downside risk if weak SSS and margin pressure persist.</t>
        </is>
      </c>
    </row>
    <row r="5">
      <c r="A5" s="7" t="inlineStr">
        <is>
          <t>Domestic Listed Median</t>
        </is>
      </c>
      <c r="B5" s="9" t="n">
        <v>4.201130324401747</v>
      </c>
      <c r="C5" s="10" t="n">
        <v>1600</v>
      </c>
      <c r="D5" s="10">
        <f>B5*C5</f>
        <v/>
      </c>
      <c r="E5" s="10" t="n">
        <v>736</v>
      </c>
      <c r="F5" s="10">
        <f>D5-E5</f>
        <v/>
      </c>
      <c r="G5" s="11" t="n">
        <v>2300047621</v>
      </c>
      <c r="H5" s="6">
        <f>F5*1000000/G5</f>
        <v/>
      </c>
      <c r="I5" s="6" t="n">
        <v>4.26</v>
      </c>
      <c r="J5" s="8">
        <f>H5/I5-1</f>
        <v/>
      </c>
      <c r="K5" s="7" t="inlineStr">
        <is>
          <t>Median of Brazilian listed peers, including distressed GPA</t>
        </is>
      </c>
      <c r="L5" s="25" t="inlineStr">
        <is>
          <t>Stress case: downside risk if weak SSS and margin pressure persist.</t>
        </is>
      </c>
    </row>
    <row r="6">
      <c r="A6" s="7" t="inlineStr">
        <is>
          <t>Domestic Core Case</t>
        </is>
      </c>
      <c r="B6" s="9" t="n">
        <v>6.104796544</v>
      </c>
      <c r="C6" s="10" t="n">
        <v>1600</v>
      </c>
      <c r="D6" s="10">
        <f>B6*C6</f>
        <v/>
      </c>
      <c r="E6" s="10" t="n">
        <v>736</v>
      </c>
      <c r="F6" s="10">
        <f>D6-E6</f>
        <v/>
      </c>
      <c r="G6" s="11" t="n">
        <v>2300047621</v>
      </c>
      <c r="H6" s="6">
        <f>F6*1000000/G6</f>
        <v/>
      </c>
      <c r="I6" s="6" t="n">
        <v>4.26</v>
      </c>
      <c r="J6" s="8">
        <f>H6/I6-1</f>
        <v/>
      </c>
      <c r="K6" s="7" t="inlineStr">
        <is>
          <t>Assai-only case as closest domestic listed comparable</t>
        </is>
      </c>
      <c r="L6" s="25" t="inlineStr">
        <is>
          <t>Scenario output should be interpreted with 1T26 operating caution.</t>
        </is>
      </c>
    </row>
    <row r="7">
      <c r="A7" s="7" t="inlineStr">
        <is>
          <t>Expanded LatAm ex-Distressed Median</t>
        </is>
      </c>
      <c r="B7" s="9" t="n">
        <v>7.398</v>
      </c>
      <c r="C7" s="10" t="n">
        <v>1600</v>
      </c>
      <c r="D7" s="10">
        <f>B7*C7</f>
        <v/>
      </c>
      <c r="E7" s="10" t="n">
        <v>736</v>
      </c>
      <c r="F7" s="10">
        <f>D7-E7</f>
        <v/>
      </c>
      <c r="G7" s="11" t="n">
        <v>2300047621</v>
      </c>
      <c r="H7" s="6">
        <f>F7*1000000/G7</f>
        <v/>
      </c>
      <c r="I7" s="6" t="n">
        <v>4.26</v>
      </c>
      <c r="J7" s="8">
        <f>H7/I7-1</f>
        <v/>
      </c>
      <c r="K7" s="7" t="inlineStr">
        <is>
          <t>Median of traded peers excluding distressed GPA and delisted Carrefour Brasil</t>
        </is>
      </c>
      <c r="L7" s="25" t="inlineStr">
        <is>
          <t>Base case: moderate upside, but operational caution required.</t>
        </is>
      </c>
    </row>
    <row r="8">
      <c r="A8" s="7" t="inlineStr">
        <is>
          <t>Expanded LatAm including GPA Median</t>
        </is>
      </c>
      <c r="B8" s="9" t="n">
        <v>7.307499999999999</v>
      </c>
      <c r="C8" s="10" t="n">
        <v>1600</v>
      </c>
      <c r="D8" s="10">
        <f>B8*C8</f>
        <v/>
      </c>
      <c r="E8" s="10" t="n">
        <v>736</v>
      </c>
      <c r="F8" s="10">
        <f>D8-E8</f>
        <v/>
      </c>
      <c r="G8" s="11" t="n">
        <v>2300047621</v>
      </c>
      <c r="H8" s="6">
        <f>F8*1000000/G8</f>
        <v/>
      </c>
      <c r="I8" s="6" t="n">
        <v>4.26</v>
      </c>
      <c r="J8" s="8">
        <f>H8/I8-1</f>
        <v/>
      </c>
      <c r="K8" s="7" t="inlineStr">
        <is>
          <t>Median of all traded peers, including GPA</t>
        </is>
      </c>
      <c r="L8" s="25" t="inlineStr">
        <is>
          <t>Scenario output should be interpreted with 1T26 operating caution.</t>
        </is>
      </c>
    </row>
    <row r="9">
      <c r="A9" s="7" t="inlineStr">
        <is>
          <t>Upside Case</t>
        </is>
      </c>
      <c r="B9" s="9" t="n">
        <v>9.840999999999999</v>
      </c>
      <c r="C9" s="10" t="n">
        <v>1600</v>
      </c>
      <c r="D9" s="10">
        <f>B9*C9</f>
        <v/>
      </c>
      <c r="E9" s="10" t="n">
        <v>736</v>
      </c>
      <c r="F9" s="10">
        <f>D9-E9</f>
        <v/>
      </c>
      <c r="G9" s="11" t="n">
        <v>2300047621</v>
      </c>
      <c r="H9" s="6">
        <f>F9*1000000/G9</f>
        <v/>
      </c>
      <c r="I9" s="6" t="n">
        <v>4.26</v>
      </c>
      <c r="J9" s="8">
        <f>H9/I9-1</f>
        <v/>
      </c>
      <c r="K9" s="7" t="inlineStr">
        <is>
          <t>Higher of GMAT3 current EV/EBITDA and ex-distressed peer 75th percentile</t>
        </is>
      </c>
      <c r="L9" s="25" t="inlineStr">
        <is>
          <t>Bull case: upside increases if SSS normalizes and margin protection continues.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8" customWidth="1" min="3" max="3"/>
    <col width="28" customWidth="1" min="4" max="4"/>
    <col width="10" customWidth="1" min="5" max="5"/>
    <col width="20" customWidth="1" min="6" max="6"/>
    <col width="20" customWidth="1" min="7" max="7"/>
    <col width="42" customWidth="1" min="8" max="8"/>
  </cols>
  <sheetData>
    <row r="1">
      <c r="A1" s="17" t="inlineStr">
        <is>
          <t>Lucro Liquido Setorial</t>
        </is>
      </c>
      <c r="B1" s="26" t="n"/>
      <c r="C1" s="26" t="n"/>
      <c r="D1" s="26" t="n"/>
      <c r="E1" s="26" t="n"/>
      <c r="F1" s="26" t="n"/>
      <c r="G1" s="26" t="n"/>
      <c r="H1" s="27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</row>
    <row r="3">
      <c r="A3" s="19" t="inlineStr">
        <is>
          <t>Lucro liquido setorial calculado separadamente para Brasil em BRL milhões. Nao somamos LatAm porque Walmex, Chedraui, Soriana e Cencosud reportam em outras moedas.</t>
        </is>
      </c>
      <c r="B3" s="26" t="n"/>
      <c r="C3" s="26" t="n"/>
      <c r="D3" s="26" t="n"/>
      <c r="E3" s="26" t="n"/>
      <c r="F3" s="26" t="n"/>
      <c r="G3" s="26" t="n"/>
      <c r="H3" s="27" t="n"/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20" t="inlineStr">
        <is>
          <t>Recorte</t>
        </is>
      </c>
      <c r="B5" s="20" t="inlineStr">
        <is>
          <t>Moeda</t>
        </is>
      </c>
      <c r="C5" s="20" t="inlineStr">
        <is>
          <t>Base</t>
        </is>
      </c>
      <c r="D5" s="20" t="inlineStr">
        <is>
          <t>Empresas</t>
        </is>
      </c>
      <c r="E5" s="20" t="inlineStr">
        <is>
          <t>Qtd.</t>
        </is>
      </c>
      <c r="F5" s="20" t="inlineStr">
        <is>
          <t>Lucro liquido total</t>
        </is>
      </c>
      <c r="G5" s="20" t="inlineStr">
        <is>
          <t>Lucro positivo</t>
        </is>
      </c>
      <c r="H5" s="20" t="inlineStr">
        <is>
          <t>Leitura</t>
        </is>
      </c>
    </row>
    <row r="6">
      <c r="A6" s="21" t="inlineStr">
        <is>
          <t>Brazil listed food retail incl. GMAT3 and GPA</t>
        </is>
      </c>
      <c r="B6" s="21" t="inlineStr">
        <is>
          <t>BRL</t>
        </is>
      </c>
      <c r="C6" s="21" t="inlineStr">
        <is>
          <t>1Q26 annualized</t>
        </is>
      </c>
      <c r="D6" s="21" t="inlineStr">
        <is>
          <t>GMAT3.SA, ASAI3.SA, PCAR3.SA</t>
        </is>
      </c>
      <c r="E6" s="21" t="n">
        <v>3</v>
      </c>
      <c r="F6" s="22" t="n">
        <v>-3840</v>
      </c>
      <c r="G6" s="22" t="n">
        <v>1548</v>
      </c>
      <c r="H6" s="21" t="inlineStr">
        <is>
          <t>Recorte mais limpo para lucro positivo.</t>
        </is>
      </c>
    </row>
    <row r="7">
      <c r="A7" s="21" t="inlineStr">
        <is>
          <t>Brazil peers only incl. GPA</t>
        </is>
      </c>
      <c r="B7" s="21" t="inlineStr">
        <is>
          <t>BRL</t>
        </is>
      </c>
      <c r="C7" s="21" t="inlineStr">
        <is>
          <t>1Q26 annualized</t>
        </is>
      </c>
      <c r="D7" s="21" t="inlineStr">
        <is>
          <t>ASAI3.SA, PCAR3.SA</t>
        </is>
      </c>
      <c r="E7" s="21" t="n">
        <v>2</v>
      </c>
      <c r="F7" s="22" t="n">
        <v>-4692</v>
      </c>
      <c r="G7" s="22" t="n">
        <v>696</v>
      </c>
      <c r="H7" s="21" t="inlineStr">
        <is>
          <t>Recorte mais limpo para lucro positivo.</t>
        </is>
      </c>
    </row>
    <row r="8">
      <c r="A8" s="21" t="inlineStr">
        <is>
          <t>Brazil peers ex-distressed GPA</t>
        </is>
      </c>
      <c r="B8" s="21" t="inlineStr">
        <is>
          <t>BRL</t>
        </is>
      </c>
      <c r="C8" s="21" t="inlineStr">
        <is>
          <t>1Q26 annualized</t>
        </is>
      </c>
      <c r="D8" s="21" t="inlineStr">
        <is>
          <t>ASAI3.SA</t>
        </is>
      </c>
      <c r="E8" s="21" t="n">
        <v>1</v>
      </c>
      <c r="F8" s="22" t="n">
        <v>696</v>
      </c>
      <c r="G8" s="22" t="n">
        <v>696</v>
      </c>
      <c r="H8" s="21" t="inlineStr">
        <is>
          <t>Recorte mais limpo para lucro positivo.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Sensibilidade de Preco Justo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EBITDA / Multiplo</t>
        </is>
      </c>
      <c r="B4" s="12" t="n">
        <v>5.5</v>
      </c>
      <c r="C4" s="12" t="n">
        <v>6.5</v>
      </c>
      <c r="D4" s="12" t="n">
        <v>7</v>
      </c>
      <c r="E4" s="12" t="n">
        <v>7.5</v>
      </c>
      <c r="F4" s="12" t="n">
        <v>8</v>
      </c>
      <c r="G4" s="12" t="n">
        <v>9</v>
      </c>
      <c r="H4" s="12" t="n">
        <v>10</v>
      </c>
    </row>
    <row r="5">
      <c r="A5" s="10" t="n">
        <v>1400</v>
      </c>
      <c r="B5" s="6">
        <f>($A5*B$4-736)*1000000/2300047621.0</f>
        <v/>
      </c>
      <c r="C5" s="6">
        <f>($A5*C$4-736)*1000000/2300047621.0</f>
        <v/>
      </c>
      <c r="D5" s="6">
        <f>($A5*D$4-736)*1000000/2300047621.0</f>
        <v/>
      </c>
      <c r="E5" s="6">
        <f>($A5*E$4-736)*1000000/2300047621.0</f>
        <v/>
      </c>
      <c r="F5" s="6">
        <f>($A5*F$4-736)*1000000/2300047621.0</f>
        <v/>
      </c>
      <c r="G5" s="6">
        <f>($A5*G$4-736)*1000000/2300047621.0</f>
        <v/>
      </c>
      <c r="H5" s="6">
        <f>($A5*H$4-736)*1000000/2300047621.0</f>
        <v/>
      </c>
    </row>
    <row r="6">
      <c r="A6" s="10" t="n">
        <v>1500</v>
      </c>
      <c r="B6" s="6">
        <f>($A6*B$4-736)*1000000/2300047621.0</f>
        <v/>
      </c>
      <c r="C6" s="6">
        <f>($A6*C$4-736)*1000000/2300047621.0</f>
        <v/>
      </c>
      <c r="D6" s="6">
        <f>($A6*D$4-736)*1000000/2300047621.0</f>
        <v/>
      </c>
      <c r="E6" s="6">
        <f>($A6*E$4-736)*1000000/2300047621.0</f>
        <v/>
      </c>
      <c r="F6" s="6">
        <f>($A6*F$4-736)*1000000/2300047621.0</f>
        <v/>
      </c>
      <c r="G6" s="6">
        <f>($A6*G$4-736)*1000000/2300047621.0</f>
        <v/>
      </c>
      <c r="H6" s="6">
        <f>($A6*H$4-736)*1000000/2300047621.0</f>
        <v/>
      </c>
    </row>
    <row r="7">
      <c r="A7" s="10" t="n">
        <v>1600</v>
      </c>
      <c r="B7" s="6">
        <f>($A7*B$4-736)*1000000/2300047621.0</f>
        <v/>
      </c>
      <c r="C7" s="6">
        <f>($A7*C$4-736)*1000000/2300047621.0</f>
        <v/>
      </c>
      <c r="D7" s="6">
        <f>($A7*D$4-736)*1000000/2300047621.0</f>
        <v/>
      </c>
      <c r="E7" s="6">
        <f>($A7*E$4-736)*1000000/2300047621.0</f>
        <v/>
      </c>
      <c r="F7" s="6">
        <f>($A7*F$4-736)*1000000/2300047621.0</f>
        <v/>
      </c>
      <c r="G7" s="6">
        <f>($A7*G$4-736)*1000000/2300047621.0</f>
        <v/>
      </c>
      <c r="H7" s="6">
        <f>($A7*H$4-736)*1000000/2300047621.0</f>
        <v/>
      </c>
    </row>
    <row r="8">
      <c r="A8" s="10" t="n">
        <v>1700</v>
      </c>
      <c r="B8" s="6">
        <f>($A8*B$4-736)*1000000/2300047621.0</f>
        <v/>
      </c>
      <c r="C8" s="6">
        <f>($A8*C$4-736)*1000000/2300047621.0</f>
        <v/>
      </c>
      <c r="D8" s="6">
        <f>($A8*D$4-736)*1000000/2300047621.0</f>
        <v/>
      </c>
      <c r="E8" s="6">
        <f>($A8*E$4-736)*1000000/2300047621.0</f>
        <v/>
      </c>
      <c r="F8" s="6">
        <f>($A8*F$4-736)*1000000/2300047621.0</f>
        <v/>
      </c>
      <c r="G8" s="6">
        <f>($A8*G$4-736)*1000000/2300047621.0</f>
        <v/>
      </c>
      <c r="H8" s="6">
        <f>($A8*H$4-736)*1000000/2300047621.0</f>
        <v/>
      </c>
    </row>
    <row r="9">
      <c r="A9" s="10" t="n">
        <v>1800</v>
      </c>
      <c r="B9" s="6">
        <f>($A9*B$4-736)*1000000/2300047621.0</f>
        <v/>
      </c>
      <c r="C9" s="6">
        <f>($A9*C$4-736)*1000000/2300047621.0</f>
        <v/>
      </c>
      <c r="D9" s="6">
        <f>($A9*D$4-736)*1000000/2300047621.0</f>
        <v/>
      </c>
      <c r="E9" s="6">
        <f>($A9*E$4-736)*1000000/2300047621.0</f>
        <v/>
      </c>
      <c r="F9" s="6">
        <f>($A9*F$4-736)*1000000/2300047621.0</f>
        <v/>
      </c>
      <c r="G9" s="6">
        <f>($A9*G$4-736)*1000000/2300047621.0</f>
        <v/>
      </c>
      <c r="H9" s="6">
        <f>($A9*H$4-736)*1000000/2300047621.0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36" customWidth="1" min="4" max="4"/>
    <col width="36" customWidth="1" min="5" max="5"/>
    <col width="38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3" t="inlineStr">
        <is>
          <t>Overlay Operacional 1T26</t>
        </is>
      </c>
    </row>
    <row r="3">
      <c r="A3" s="28" t="inlineStr">
        <is>
          <t>O valuation aponta upside moderado, mas os dados operacionais do 1T26 reduzem a convicção. O ponto central é que a empresa protegeu margem bruta, mas sofreu com SSS negativo, deflação alimentar e desalavancagem operacional.</t>
        </is>
      </c>
    </row>
    <row r="5">
      <c r="A5" s="24" t="inlineStr">
        <is>
          <t>Métrica</t>
        </is>
      </c>
      <c r="B5" s="24" t="inlineStr">
        <is>
          <t>Valor</t>
        </is>
      </c>
      <c r="C5" s="24" t="inlineStr">
        <is>
          <t>Unidade</t>
        </is>
      </c>
      <c r="D5" s="24" t="inlineStr">
        <is>
          <t>Leitura</t>
        </is>
      </c>
      <c r="E5" s="24" t="inlineStr">
        <is>
          <t>Impacto na tese</t>
        </is>
      </c>
      <c r="F5" s="24" t="inlineStr">
        <is>
          <t>Mensagem para apresentação</t>
        </is>
      </c>
    </row>
    <row r="6">
      <c r="A6" s="7" t="inlineStr">
        <is>
          <t>Net revenue growth YoY</t>
        </is>
      </c>
      <c r="B6" s="29" t="n">
        <v>12.9</v>
      </c>
      <c r="C6" s="7" t="inlineStr">
        <is>
          <t>%</t>
        </is>
      </c>
      <c r="D6" s="7" t="inlineStr">
        <is>
          <t>Revenue still grew, helped by consolidation and channel growth.</t>
        </is>
      </c>
      <c r="E6" s="7" t="inlineStr">
        <is>
          <t>Positivo, mas não suficiente para compensar pressão de lucro.</t>
        </is>
      </c>
      <c r="F6" s="7" t="inlineStr">
        <is>
          <t>Upside existe, mas precisa ser lido com cautela operacional.</t>
        </is>
      </c>
    </row>
    <row r="7">
      <c r="A7" s="7" t="inlineStr">
        <is>
          <t>Net income growth YoY</t>
        </is>
      </c>
      <c r="B7" s="29" t="n">
        <v>-21.8</v>
      </c>
      <c r="C7" s="7" t="inlineStr">
        <is>
          <t>%</t>
        </is>
      </c>
      <c r="D7" s="7" t="inlineStr">
        <is>
          <t>Profitability deteriorated despite revenue growth.</t>
        </is>
      </c>
      <c r="E7" s="7" t="inlineStr">
        <is>
          <t>Negativo para convicção de curto prazo.</t>
        </is>
      </c>
      <c r="F7" s="7" t="inlineStr">
        <is>
          <t>Upside existe, mas precisa ser lido com cautela operacional.</t>
        </is>
      </c>
    </row>
    <row r="8">
      <c r="A8" s="7" t="inlineStr">
        <is>
          <t>Same-store sales growth</t>
        </is>
      </c>
      <c r="B8" s="29" t="n">
        <v>-7.3</v>
      </c>
      <c r="C8" s="7" t="inlineStr">
        <is>
          <t>%</t>
        </is>
      </c>
      <c r="D8" s="7" t="inlineStr">
        <is>
          <t>Negative SSS points to weaker mature-store momentum.</t>
        </is>
      </c>
      <c r="E8" s="7" t="inlineStr">
        <is>
          <t>Principal alerta operacional.</t>
        </is>
      </c>
      <c r="F8" s="7" t="inlineStr">
        <is>
          <t>Upside existe, mas precisa ser lido com cautela operacional.</t>
        </is>
      </c>
    </row>
    <row r="9">
      <c r="A9" s="7" t="inlineStr">
        <is>
          <t>Gross margin</t>
        </is>
      </c>
      <c r="B9" s="29" t="n">
        <v>22.9</v>
      </c>
      <c r="C9" s="7" t="inlineStr">
        <is>
          <t>%</t>
        </is>
      </c>
      <c r="D9" s="7" t="inlineStr">
        <is>
          <t>Margin protection worked at the gross profit level.</t>
        </is>
      </c>
      <c r="E9" s="7" t="inlineStr">
        <is>
          <t>Mostra preservação de margem.</t>
        </is>
      </c>
      <c r="F9" s="7" t="inlineStr">
        <is>
          <t>Upside existe, mas precisa ser lido com cautela operacional.</t>
        </is>
      </c>
    </row>
    <row r="10">
      <c r="A10" s="7" t="inlineStr">
        <is>
          <t>EBITDA margin pre-IFRS 16</t>
        </is>
      </c>
      <c r="B10" s="29" t="n">
        <v>4.3</v>
      </c>
      <c r="C10" s="7" t="inlineStr">
        <is>
          <t>%</t>
        </is>
      </c>
      <c r="D10" s="7" t="inlineStr">
        <is>
          <t>Pre-IFRS profitability remains pressured.</t>
        </is>
      </c>
      <c r="E10" s="7" t="inlineStr">
        <is>
          <t>Mostra pressão operacional antes do efeito IFRS 16.</t>
        </is>
      </c>
      <c r="F10" s="7" t="inlineStr">
        <is>
          <t>Upside existe, mas precisa ser lido com cautela operacional.</t>
        </is>
      </c>
    </row>
    <row r="11">
      <c r="A11" s="7" t="inlineStr">
        <is>
          <t>EBITDA margin post-IFRS 16</t>
        </is>
      </c>
      <c r="B11" s="29" t="n">
        <v>5.8</v>
      </c>
      <c r="C11" s="7" t="inlineStr">
        <is>
          <t>%</t>
        </is>
      </c>
      <c r="D11" s="7" t="inlineStr">
        <is>
          <t>Post-IFRS 16 EBITDA margin also declined YoY.</t>
        </is>
      </c>
      <c r="E11" s="7" t="inlineStr">
        <is>
          <t>Margem reportada ainda pressionada.</t>
        </is>
      </c>
      <c r="F11" s="7" t="inlineStr">
        <is>
          <t>Upside existe, mas precisa ser lido com cautela operacional.</t>
        </is>
      </c>
    </row>
    <row r="12">
      <c r="A12" s="7" t="inlineStr">
        <is>
          <t>EBITDA pre-IFRS 16</t>
        </is>
      </c>
      <c r="B12" s="30" t="n">
        <v>399.8</v>
      </c>
      <c r="C12" s="7" t="inlineStr">
        <is>
          <t>BRL mn</t>
        </is>
      </c>
      <c r="D12" s="7" t="inlineStr">
        <is>
          <t>Used as an operating quality reference versus annualized EBITDA.</t>
        </is>
      </c>
      <c r="E12" s="7" t="inlineStr">
        <is>
          <t>Base operacional mais conservadora.</t>
        </is>
      </c>
      <c r="F12" s="7" t="inlineStr">
        <is>
          <t>Upside existe, mas precisa ser lido com cautela operacional.</t>
        </is>
      </c>
    </row>
    <row r="13">
      <c r="A13" s="7" t="inlineStr">
        <is>
          <t>EBITDA post-IFRS 16</t>
        </is>
      </c>
      <c r="B13" s="30" t="n">
        <v>543</v>
      </c>
      <c r="C13" s="7" t="inlineStr">
        <is>
          <t>BRL mn</t>
        </is>
      </c>
      <c r="D13" s="7" t="inlineStr">
        <is>
          <t>Reported post-IFRS EBITDA reference.</t>
        </is>
      </c>
      <c r="E13" s="7" t="inlineStr">
        <is>
          <t>Referência reportada pós-arrendamento.</t>
        </is>
      </c>
      <c r="F13" s="7" t="inlineStr">
        <is>
          <t>Upside existe, mas precisa ser lido com cautela operacional.</t>
        </is>
      </c>
    </row>
    <row r="16">
      <c r="A16" s="24" t="inlineStr">
        <is>
          <t>Pilar operacional</t>
        </is>
      </c>
      <c r="B16" s="24" t="inlineStr">
        <is>
          <t>Tese</t>
        </is>
      </c>
      <c r="C16" s="24" t="inlineStr">
        <is>
          <t>Risco</t>
        </is>
      </c>
    </row>
    <row r="17">
      <c r="A17" s="7" t="inlineStr">
        <is>
          <t>Crescimento regional</t>
        </is>
      </c>
      <c r="B17" s="7" t="inlineStr">
        <is>
          <t>Força regional ainda sustenta a tese estrutural.</t>
        </is>
      </c>
      <c r="C17" s="7" t="inlineStr">
        <is>
          <t>Expansão fora do core pode reduzir retorno.</t>
        </is>
      </c>
    </row>
    <row r="18">
      <c r="A18" s="7" t="inlineStr">
        <is>
          <t>Maturação de lojas</t>
        </is>
      </c>
      <c r="B18" s="7" t="inlineStr">
        <is>
          <t>Normalização de SSS é chave para o re-rating.</t>
        </is>
      </c>
      <c r="C18" s="7" t="inlineStr">
        <is>
          <t>SSS negativo prolongado limita upside.</t>
        </is>
      </c>
    </row>
    <row r="19">
      <c r="A19" s="7" t="inlineStr">
        <is>
          <t>Logística e distribuição</t>
        </is>
      </c>
      <c r="B19" s="7" t="inlineStr">
        <is>
          <t>Eficiência logística pode proteger margem.</t>
        </is>
      </c>
      <c r="C19" s="7" t="inlineStr">
        <is>
          <t>Custo logístico e ruptura podem pressionar rentabilidade.</t>
        </is>
      </c>
    </row>
    <row r="20">
      <c r="A20" s="7" t="inlineStr">
        <is>
          <t>Margem EBITDA</t>
        </is>
      </c>
      <c r="B20" s="7" t="inlineStr">
        <is>
          <t>Preservação de margem é positiva, mas não pode depender de queda de volume.</t>
        </is>
      </c>
      <c r="C20" s="7" t="inlineStr">
        <is>
          <t>Trade-off margem vs volume reduz qualidade do crescimento.</t>
        </is>
      </c>
    </row>
    <row r="21">
      <c r="A21" s="7" t="inlineStr">
        <is>
          <t>Competição no atacarejo</t>
        </is>
      </c>
      <c r="B21" s="7" t="inlineStr">
        <is>
          <t>Setor segue estruturalmente relevante.</t>
        </is>
      </c>
      <c r="C21" s="7" t="inlineStr">
        <is>
          <t>Assaí, Atacadão e players regionais pressionam preços.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4" customWidth="1" min="4" max="4"/>
    <col width="16" customWidth="1" min="5" max="5"/>
    <col width="22" customWidth="1" min="6" max="6"/>
    <col width="58" customWidth="1" min="7" max="7"/>
    <col width="30" customWidth="1" min="8" max="8"/>
    <col width="18" customWidth="1" min="9" max="9"/>
    <col width="45" customWidth="1" min="10" max="10"/>
    <col width="48" customWidth="1" min="11" max="11"/>
  </cols>
  <sheetData>
    <row r="1">
      <c r="A1" s="13" t="inlineStr">
        <is>
          <t>Fontes e Data-base</t>
        </is>
      </c>
    </row>
    <row r="3">
      <c r="A3" s="24" t="inlineStr">
        <is>
          <t>ID</t>
        </is>
      </c>
      <c r="B3" s="24" t="inlineStr">
        <is>
          <t>Item</t>
        </is>
      </c>
      <c r="C3" s="24" t="inlineStr">
        <is>
          <t>Empresa</t>
        </is>
      </c>
      <c r="D3" s="24" t="inlineStr">
        <is>
          <t>Ticker</t>
        </is>
      </c>
      <c r="E3" s="24" t="inlineStr">
        <is>
          <t>Periodo/Data</t>
        </is>
      </c>
      <c r="F3" s="24" t="inlineStr">
        <is>
          <t>Tipo</t>
        </is>
      </c>
      <c r="G3" s="24" t="inlineStr">
        <is>
          <t>Fonte</t>
        </is>
      </c>
      <c r="H3" s="24" t="inlineStr">
        <is>
          <t>Uso</t>
        </is>
      </c>
    </row>
    <row r="4">
      <c r="A4" s="7" t="inlineStr">
        <is>
          <t>SRC001</t>
        </is>
      </c>
      <c r="B4" s="7" t="inlineStr">
        <is>
          <t>1T26 earnings release</t>
        </is>
      </c>
      <c r="C4" s="7" t="inlineStr">
        <is>
          <t>Grupo Mateus</t>
        </is>
      </c>
      <c r="D4" s="7" t="inlineStr">
        <is>
          <t>GMAT3.SA</t>
        </is>
      </c>
      <c r="E4" s="7" t="inlineStr">
        <is>
          <t>1T26</t>
        </is>
      </c>
      <c r="F4" s="7" t="inlineStr">
        <is>
          <t>Company filing / IR</t>
        </is>
      </c>
      <c r="G4" s="7" t="inlineStr">
        <is>
          <t>https://ri.grupomateus.com.br/central-de-resultados/</t>
        </is>
      </c>
      <c r="H4" s="7" t="inlineStr">
        <is>
          <t>Raw Brazilian fundamentals</t>
        </is>
      </c>
    </row>
    <row r="5">
      <c r="A5" s="7" t="inlineStr">
        <is>
          <t>SRC002</t>
        </is>
      </c>
      <c r="B5" s="7" t="inlineStr">
        <is>
          <t>1T26 earnings release</t>
        </is>
      </c>
      <c r="C5" s="7" t="inlineStr">
        <is>
          <t>Assai</t>
        </is>
      </c>
      <c r="D5" s="7" t="inlineStr">
        <is>
          <t>ASAI3.SA</t>
        </is>
      </c>
      <c r="E5" s="7" t="inlineStr">
        <is>
          <t>1T26</t>
        </is>
      </c>
      <c r="F5" s="7" t="inlineStr">
        <is>
          <t>Company filing / IR</t>
        </is>
      </c>
      <c r="G5" s="7" t="inlineStr">
        <is>
          <t>https://ri.assai.com.br/informacoes-financeiras/resultados-trimestrais/</t>
        </is>
      </c>
      <c r="H5" s="7" t="inlineStr">
        <is>
          <t>Raw Brazilian fundamentals</t>
        </is>
      </c>
    </row>
    <row r="6">
      <c r="A6" s="7" t="inlineStr">
        <is>
          <t>SRC003</t>
        </is>
      </c>
      <c r="B6" s="7" t="inlineStr">
        <is>
          <t>1T26 earnings release</t>
        </is>
      </c>
      <c r="C6" s="7" t="inlineStr">
        <is>
          <t>GPA</t>
        </is>
      </c>
      <c r="D6" s="7" t="inlineStr">
        <is>
          <t>PCAR3.SA</t>
        </is>
      </c>
      <c r="E6" s="7" t="inlineStr">
        <is>
          <t>1T26</t>
        </is>
      </c>
      <c r="F6" s="7" t="inlineStr">
        <is>
          <t>Company filing / IR</t>
        </is>
      </c>
      <c r="G6" s="7" t="inlineStr">
        <is>
          <t>https://www.gpari.com.br/</t>
        </is>
      </c>
      <c r="H6" s="7" t="inlineStr">
        <is>
          <t>Raw Brazilian fundamentals</t>
        </is>
      </c>
    </row>
    <row r="7">
      <c r="A7" s="7" t="inlineStr">
        <is>
          <t>SRC004</t>
        </is>
      </c>
      <c r="B7" s="7" t="inlineStr">
        <is>
          <t>Market data and LatAm multiples</t>
        </is>
      </c>
      <c r="C7" s="7" t="inlineStr">
        <is>
          <t>Expanded peer group</t>
        </is>
      </c>
      <c r="D7" s="7" t="n">
        <v/>
      </c>
      <c r="E7" s="7" t="inlineStr">
        <is>
          <t>2026-05-31</t>
        </is>
      </c>
      <c r="F7" s="7" t="inlineStr">
        <is>
          <t>Market data</t>
        </is>
      </c>
      <c r="G7" s="7" t="inlineStr">
        <is>
          <t>https://finance.yahoo.com/</t>
        </is>
      </c>
      <c r="H7" s="7" t="inlineStr">
        <is>
          <t>Current prices market caps EV EBITDA net income and multiples</t>
        </is>
      </c>
    </row>
    <row r="8">
      <c r="A8" s="7" t="inlineStr">
        <is>
          <t>SRC005</t>
        </is>
      </c>
      <c r="B8" s="7" t="inlineStr">
        <is>
          <t>Carrefour Brasil delisting</t>
        </is>
      </c>
      <c r="C8" s="7" t="inlineStr">
        <is>
          <t>Carrefour Brasil / Atacadao</t>
        </is>
      </c>
      <c r="D8" s="7" t="inlineStr">
        <is>
          <t>CRFB3.SA</t>
        </is>
      </c>
      <c r="E8" s="7" t="inlineStr">
        <is>
          <t>2025-05-30</t>
        </is>
      </c>
      <c r="F8" s="7" t="inlineStr">
        <is>
          <t>Market/news source</t>
        </is>
      </c>
      <c r="G8" s="7" t="inlineStr">
        <is>
          <t>https://investalk.bb.com.br/noticias/mercado/acao-do-carrefour-crfb3-da-adeus-a-b3-como-ficam-os-acionistas</t>
        </is>
      </c>
      <c r="H8" s="7" t="inlineStr">
        <is>
          <t>Peer treatment</t>
        </is>
      </c>
    </row>
    <row r="9">
      <c r="A9" s="7" t="inlineStr">
        <is>
          <t>SRC006</t>
        </is>
      </c>
      <c r="B9" s="7" t="inlineStr">
        <is>
          <t>Grupo Mateus operating strategy</t>
        </is>
      </c>
      <c r="C9" s="7" t="inlineStr">
        <is>
          <t>Grupo Mateus</t>
        </is>
      </c>
      <c r="D9" s="7" t="inlineStr">
        <is>
          <t>GMAT3.SA</t>
        </is>
      </c>
      <c r="E9" s="7" t="inlineStr">
        <is>
          <t>current</t>
        </is>
      </c>
      <c r="F9" s="7" t="inlineStr">
        <is>
          <t>Company IR</t>
        </is>
      </c>
      <c r="G9" s="7" t="inlineStr">
        <is>
          <t>https://ri.grupomateus.com.br/en/the-group/strategy/</t>
        </is>
      </c>
      <c r="H9" s="7" t="inlineStr">
        <is>
          <t>Operating thesis</t>
        </is>
      </c>
    </row>
    <row r="10">
      <c r="A10" s="7" t="inlineStr">
        <is>
          <t>SRC007</t>
        </is>
      </c>
      <c r="B10" s="7" t="inlineStr">
        <is>
          <t>Peer selection framework</t>
        </is>
      </c>
      <c r="C10" s="7" t="inlineStr">
        <is>
          <t>All peers</t>
        </is>
      </c>
      <c r="D10" s="7" t="n">
        <v/>
      </c>
      <c r="E10" s="7" t="inlineStr">
        <is>
          <t>2026-05-31</t>
        </is>
      </c>
      <c r="F10" s="7" t="inlineStr">
        <is>
          <t>Analyst judgment</t>
        </is>
      </c>
      <c r="G10" s="7" t="inlineStr">
        <is>
          <t>Internal model</t>
        </is>
      </c>
      <c r="H10" s="7" t="inlineStr">
        <is>
          <t>Peer group classification</t>
        </is>
      </c>
    </row>
    <row r="11">
      <c r="A11" s="7" t="inlineStr">
        <is>
          <t>SRC008</t>
        </is>
      </c>
      <c r="B11" s="7" t="inlineStr">
        <is>
          <t>1T26 operating evidence</t>
        </is>
      </c>
      <c r="C11" s="7" t="inlineStr">
        <is>
          <t>Grupo Mateus</t>
        </is>
      </c>
      <c r="D11" s="7" t="inlineStr">
        <is>
          <t>GMAT3.SA</t>
        </is>
      </c>
      <c r="E11" s="7" t="inlineStr">
        <is>
          <t>2026-05-14</t>
        </is>
      </c>
      <c r="F11" s="7" t="inlineStr">
        <is>
          <t>News / earnings analysis</t>
        </is>
      </c>
      <c r="G11" s="7" t="inlineStr">
        <is>
          <t>https://www.moneytimes.com.br/grupo-mateus-gmat3-ve-lucro-cair-218-no-1t26-para-r-2129-milhoes/</t>
        </is>
      </c>
      <c r="H11" s="7" t="inlineStr">
        <is>
          <t>Operational overlay and risk interpretation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Graficos para Relatorio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2026-05-31T17:36:30Z</dcterms:created>
  <dcterms:modified xsi:type="dcterms:W3CDTF">2026-05-31T18:38:29Z</dcterms:modified>
</cp:coreProperties>
</file>