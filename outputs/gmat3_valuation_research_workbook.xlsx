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ase Normalizada" sheetId="2" state="visible" r:id="rId2"/>
    <sheet name="Ajuste Multiplo" sheetId="3" state="visible" r:id="rId3"/>
    <sheet name="Peer Group" sheetId="4" state="visible" r:id="rId4"/>
    <sheet name="Peer Selection" sheetId="5" state="visible" r:id="rId5"/>
    <sheet name="Multiplos" sheetId="6" state="visible" r:id="rId6"/>
    <sheet name="Valuation" sheetId="7" state="visible" r:id="rId7"/>
    <sheet name="Sensibilidade" sheetId="8" state="visible" r:id="rId8"/>
    <sheet name="Lucro Setor" sheetId="9" state="visible" r:id="rId9"/>
    <sheet name="Operacional" sheetId="10" state="visible" r:id="rId10"/>
    <sheet name="Fontes" sheetId="11" state="visible" r:id="rId11"/>
    <sheet name="Grafic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0.00"/>
    <numFmt numFmtId="165" formatCode="0.0%"/>
    <numFmt numFmtId="166" formatCode="0.0x"/>
    <numFmt numFmtId="167" formatCode="R$#,##0"/>
    <numFmt numFmtId="168" formatCode="0.0"/>
    <numFmt numFmtId="169" formatCode="R$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</font>
    <font>
      <name val="Arial"/>
      <b val="1"/>
      <color rgb="00FFFFFF"/>
      <sz val="10"/>
    </font>
    <font>
      <name val="Arial"/>
      <b val="1"/>
      <color rgb="000000FF"/>
    </font>
    <font>
      <name val="Arial"/>
      <sz val="10"/>
    </font>
    <font>
      <name val="Arial"/>
      <color theme="1"/>
      <sz val="10"/>
    </font>
    <font>
      <name val="Arial"/>
      <b val="1"/>
      <sz val="10"/>
    </font>
    <font>
      <name val="Arial"/>
      <b val="1"/>
      <color rgb="00FFFFFF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8"/>
      </patternFill>
    </fill>
    <fill>
      <patternFill patternType="solid">
        <fgColor rgb="001F4E79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0" fontId="1" fillId="2" borderId="0" pivotButton="0" quotePrefix="0" xfId="0"/>
    <xf numFmtId="0" fontId="3" fillId="4" borderId="1" applyAlignment="1" pivotButton="0" quotePrefix="0" xfId="0">
      <alignment horizontal="center" wrapText="1"/>
    </xf>
    <xf numFmtId="0" fontId="2" fillId="5" borderId="0" pivotButton="0" quotePrefix="0" xfId="0"/>
    <xf numFmtId="167" fontId="4" fillId="0" borderId="0" pivotButton="0" quotePrefix="0" xfId="0"/>
    <xf numFmtId="0" fontId="3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wrapText="1"/>
    </xf>
    <xf numFmtId="168" fontId="5" fillId="0" borderId="1" applyAlignment="1" pivotButton="0" quotePrefix="0" xfId="0">
      <alignment vertical="top" wrapText="1"/>
    </xf>
    <xf numFmtId="169" fontId="5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572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4572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45720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</row>
      <rowOff>0</rowOff>
    </from>
    <ext cx="457200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2667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8" customWidth="1" min="3" max="3"/>
    <col width="4" customWidth="1" min="4" max="4"/>
    <col width="18" customWidth="1" min="5" max="5"/>
    <col width="42" customWidth="1" min="6" max="6"/>
    <col width="44" customWidth="1" min="7" max="7"/>
    <col width="14" customWidth="1" min="8" max="8"/>
    <col width="14" customWidth="1" min="9" max="9"/>
  </cols>
  <sheetData>
    <row r="1" ht="26" customHeight="1">
      <c r="A1" s="31" t="inlineStr">
        <is>
          <t>GMAT3 | Valuation por Multiplos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</row>
    <row r="3" ht="34" customHeight="1">
      <c r="A3" s="33" t="inlineStr">
        <is>
          <t>Tese: GMAT3 parece moderadamente descontada frente a peers LatAm saudáveis, mas o 1T26 reduz a convicção por SSS negativo, deflação alimentar e trade-off entre margem e volume. O valuation sugere upside, não uma recomendação agressiva.</t>
        </is>
      </c>
    </row>
    <row r="4" ht="34" customHeight="1"/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</row>
    <row r="6" ht="34" customHeight="1">
      <c r="A6" s="20" t="inlineStr">
        <is>
          <t>Métrica</t>
        </is>
      </c>
      <c r="B6" s="20" t="inlineStr">
        <is>
          <t>Valor</t>
        </is>
      </c>
      <c r="C6" s="20" t="inlineStr">
        <is>
          <t>Leitura</t>
        </is>
      </c>
      <c r="D6" s="32" t="n"/>
      <c r="E6" s="20" t="inlineStr">
        <is>
          <t>Bloco</t>
        </is>
      </c>
      <c r="F6" s="20" t="inlineStr">
        <is>
          <t>Mensagem para slide</t>
        </is>
      </c>
      <c r="G6" s="20" t="inlineStr">
        <is>
          <t>Como defender</t>
        </is>
      </c>
      <c r="H6" s="32" t="n"/>
      <c r="I6" s="32" t="n"/>
    </row>
    <row r="7" ht="48" customHeight="1">
      <c r="A7" s="5" t="inlineStr">
        <is>
          <t>Preço atual</t>
        </is>
      </c>
      <c r="B7" s="34">
        <f>'Valuation'!I7</f>
        <v/>
      </c>
      <c r="C7" s="7" t="inlineStr">
        <is>
          <t>Preço de tela usado no modelo</t>
        </is>
      </c>
      <c r="D7" s="32" t="n"/>
      <c r="E7" s="7" t="inlineStr">
        <is>
          <t>Os Números</t>
        </is>
      </c>
      <c r="F7" s="7" t="inlineStr">
        <is>
          <t>Preço justo de R$ 4,83 vs. R$ 4,26; upside de 13,3%.</t>
        </is>
      </c>
      <c r="G7" s="7" t="inlineStr">
        <is>
          <t>Não vender como compra forte; é upside moderado.</t>
        </is>
      </c>
      <c r="H7" s="32" t="n"/>
      <c r="I7" s="32" t="n"/>
    </row>
    <row r="8" ht="48" customHeight="1">
      <c r="A8" s="5" t="inlineStr">
        <is>
          <t>Preço justo base</t>
        </is>
      </c>
      <c r="B8" s="34">
        <f>'Valuation'!H7</f>
        <v/>
      </c>
      <c r="C8" s="7" t="inlineStr">
        <is>
          <t>LatAm ex-distressed</t>
        </is>
      </c>
      <c r="D8" s="32" t="n"/>
      <c r="E8" s="7" t="inlineStr">
        <is>
          <t>O Spread</t>
        </is>
      </c>
      <c r="F8" s="7" t="inlineStr">
        <is>
          <t>GMAT3 negocia abaixo da mediana LatAm ex-distressed.</t>
        </is>
      </c>
      <c r="G8" s="7" t="inlineStr">
        <is>
          <t>Desconto é parcialmente justificado pelo 1T26 fraco.</t>
        </is>
      </c>
      <c r="H8" s="32" t="n"/>
      <c r="I8" s="32" t="n"/>
    </row>
    <row r="9" ht="48" customHeight="1">
      <c r="A9" s="5" t="inlineStr">
        <is>
          <t>Upside / Downside</t>
        </is>
      </c>
      <c r="B9" s="35">
        <f>'Valuation'!J7</f>
        <v/>
      </c>
      <c r="C9" s="7" t="inlineStr">
        <is>
          <t>Moderado, com cautela operacional</t>
        </is>
      </c>
      <c r="D9" s="32" t="n"/>
      <c r="E9" s="7" t="inlineStr">
        <is>
          <t>A Tese</t>
        </is>
      </c>
      <c r="F9" s="7" t="inlineStr">
        <is>
          <t>Qualidade regional e maturação sustentam upside, mas SSS negativo reduz convicção.</t>
        </is>
      </c>
      <c r="G9" s="7" t="inlineStr">
        <is>
          <t>Tese construtiva com cautela operacional.</t>
        </is>
      </c>
      <c r="H9" s="32" t="n"/>
      <c r="I9" s="32" t="n"/>
    </row>
    <row r="10" ht="48" customHeight="1">
      <c r="A10" s="5" t="inlineStr">
        <is>
          <t>EV/EBITDA aplicado</t>
        </is>
      </c>
      <c r="B10" s="36">
        <f>'Valuation'!B7</f>
        <v/>
      </c>
      <c r="C10" s="7" t="inlineStr">
        <is>
          <t>Mediana LatAm ex-distressed</t>
        </is>
      </c>
      <c r="D10" s="32" t="n"/>
      <c r="E10" s="32" t="n"/>
      <c r="F10" s="32" t="n"/>
      <c r="G10" s="32" t="n"/>
      <c r="H10" s="32" t="n"/>
      <c r="I10" s="32" t="n"/>
    </row>
    <row r="11" ht="48" customHeight="1">
      <c r="A11" s="5" t="inlineStr">
        <is>
          <t>GMAT3 EV/EBITDA atual</t>
        </is>
      </c>
      <c r="B11" s="36">
        <f>'Multiplos'!E6</f>
        <v/>
      </c>
      <c r="C11" s="7" t="inlineStr">
        <is>
          <t>Abaixo da mediana base</t>
        </is>
      </c>
      <c r="D11" s="32" t="n"/>
      <c r="E11" s="32" t="n"/>
      <c r="F11" s="32" t="n"/>
      <c r="G11" s="32" t="n"/>
      <c r="H11" s="32" t="n"/>
      <c r="I11" s="32" t="n"/>
    </row>
    <row r="12" ht="48" customHeight="1">
      <c r="A12" s="5" t="inlineStr">
        <is>
          <t>GMAT3 P/L</t>
        </is>
      </c>
      <c r="B12" s="36">
        <f>'Multiplos'!F6</f>
        <v/>
      </c>
      <c r="C12" s="7" t="inlineStr">
        <is>
          <t>P/L complementar</t>
        </is>
      </c>
      <c r="D12" s="32" t="n"/>
      <c r="E12" s="32" t="n"/>
      <c r="F12" s="32" t="n"/>
      <c r="G12" s="32" t="n"/>
      <c r="H12" s="32" t="n"/>
      <c r="I12" s="32" t="n"/>
    </row>
  </sheetData>
  <mergeCells count="2">
    <mergeCell ref="A1:I1"/>
    <mergeCell ref="A3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22" customWidth="1" min="4" max="4"/>
    <col width="28" customWidth="1" min="5" max="5"/>
    <col width="11" customWidth="1" min="6" max="6"/>
    <col width="10" customWidth="1" min="7" max="7"/>
    <col width="24" customWidth="1" min="8" max="8"/>
    <col width="26" customWidth="1" min="9" max="9"/>
    <col width="12" customWidth="1" min="10" max="10"/>
    <col width="12" customWidth="1" min="11" max="11"/>
    <col width="20" customWidth="1" min="12" max="12"/>
    <col width="24" customWidth="1" min="13" max="13"/>
  </cols>
  <sheetData>
    <row r="1" ht="26" customHeight="1">
      <c r="A1" s="31" t="inlineStr">
        <is>
          <t>Checkpoint 2 | Base Normalizada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</row>
    <row r="3">
      <c r="A3" s="23" t="inlineStr">
        <is>
          <t>Esta aba documenta a base usada no valuation. Brasil usa dados 1T26 anualizados; LatAm usa métricas trailing via yfinance. O objetivo é deixar claro o basis de cada número, evitando misturar dados sem explicar a data-base.</t>
        </is>
      </c>
    </row>
    <row r="4"/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</row>
    <row r="6" ht="34" customHeight="1">
      <c r="A6" s="20" t="inlineStr">
        <is>
          <t>Ticker</t>
        </is>
      </c>
      <c r="B6" s="20" t="inlineStr">
        <is>
          <t>Empresa</t>
        </is>
      </c>
      <c r="C6" s="20" t="inlineStr">
        <is>
          <t>País</t>
        </is>
      </c>
      <c r="D6" s="20" t="inlineStr">
        <is>
          <t>Papel</t>
        </is>
      </c>
      <c r="E6" s="20" t="inlineStr">
        <is>
          <t>Qualidade</t>
        </is>
      </c>
      <c r="F6" s="20" t="inlineStr">
        <is>
          <t>Incluído?</t>
        </is>
      </c>
      <c r="G6" s="20" t="inlineStr">
        <is>
          <t>Moeda</t>
        </is>
      </c>
      <c r="H6" s="20" t="inlineStr">
        <is>
          <t>Base EBITDA</t>
        </is>
      </c>
      <c r="I6" s="20" t="inlineStr">
        <is>
          <t>Base Lucro Líquido</t>
        </is>
      </c>
      <c r="J6" s="20" t="inlineStr">
        <is>
          <t>EV/EBITDA</t>
        </is>
      </c>
      <c r="K6" s="20" t="inlineStr">
        <is>
          <t>P/L</t>
        </is>
      </c>
      <c r="L6" s="20" t="inlineStr">
        <is>
          <t>Status P/L</t>
        </is>
      </c>
      <c r="M6" s="20" t="inlineStr">
        <is>
          <t>Fonte</t>
        </is>
      </c>
    </row>
    <row r="7" ht="48" customHeight="1">
      <c r="A7" s="7" t="inlineStr">
        <is>
          <t>GMAT3.SA</t>
        </is>
      </c>
      <c r="B7" s="7" t="inlineStr">
        <is>
          <t>Grupo Mateus</t>
        </is>
      </c>
      <c r="C7" s="7" t="inlineStr">
        <is>
          <t>Brazil</t>
        </is>
      </c>
      <c r="D7" s="7" t="inlineStr">
        <is>
          <t>Target</t>
        </is>
      </c>
      <c r="E7" s="7" t="inlineStr">
        <is>
          <t>Target</t>
        </is>
      </c>
      <c r="F7" s="7" t="b">
        <v>0</v>
      </c>
      <c r="G7" s="7" t="inlineStr">
        <is>
          <t>BRL</t>
        </is>
      </c>
      <c r="H7" s="7" t="inlineStr">
        <is>
          <t>1Q26 annualized</t>
        </is>
      </c>
      <c r="I7" s="7" t="inlineStr">
        <is>
          <t>1Q26 annualized</t>
        </is>
      </c>
      <c r="J7" s="9" t="n">
        <v>6.583877119999999</v>
      </c>
      <c r="K7" s="9" t="n">
        <v>11.50023872300469</v>
      </c>
      <c r="L7" s="7" t="inlineStr">
        <is>
          <t>Calculated</t>
        </is>
      </c>
      <c r="M7" s="7" t="inlineStr">
        <is>
          <t>notebook_01_annualized_1q26</t>
        </is>
      </c>
    </row>
    <row r="8" ht="48" customHeight="1">
      <c r="A8" s="7" t="inlineStr">
        <is>
          <t>ASAI3.SA</t>
        </is>
      </c>
      <c r="B8" s="7" t="inlineStr">
        <is>
          <t>Assai</t>
        </is>
      </c>
      <c r="C8" s="7" t="inlineStr">
        <is>
          <t>Brazil</t>
        </is>
      </c>
      <c r="D8" s="7" t="inlineStr">
        <is>
          <t>Domestic Core Peer</t>
        </is>
      </c>
      <c r="E8" s="7" t="inlineStr">
        <is>
          <t>Core Peer</t>
        </is>
      </c>
      <c r="F8" s="7" t="b">
        <v>1</v>
      </c>
      <c r="G8" s="7" t="inlineStr">
        <is>
          <t>BRL</t>
        </is>
      </c>
      <c r="H8" s="7" t="inlineStr">
        <is>
          <t>1Q26 annualized</t>
        </is>
      </c>
      <c r="I8" s="7" t="inlineStr">
        <is>
          <t>1Q26 annualized</t>
        </is>
      </c>
      <c r="J8" s="9" t="n">
        <v>6.104796544</v>
      </c>
      <c r="K8" s="9" t="n">
        <v>17.83216404597701</v>
      </c>
      <c r="L8" s="7" t="inlineStr">
        <is>
          <t>Calculated</t>
        </is>
      </c>
      <c r="M8" s="7" t="inlineStr">
        <is>
          <t>notebook_01_annualized_1q26</t>
        </is>
      </c>
    </row>
    <row r="9" ht="48" customHeight="1">
      <c r="A9" s="7" t="inlineStr">
        <is>
          <t>PCAR3.SA</t>
        </is>
      </c>
      <c r="B9" s="7" t="inlineStr">
        <is>
          <t>GPA</t>
        </is>
      </c>
      <c r="C9" s="7" t="inlineStr">
        <is>
          <t>Brazil</t>
        </is>
      </c>
      <c r="D9" s="7" t="inlineStr">
        <is>
          <t>Domestic Distressed Peer</t>
        </is>
      </c>
      <c r="E9" s="7" t="inlineStr">
        <is>
          <t>Distressed / Turnaround Peer</t>
        </is>
      </c>
      <c r="F9" s="7" t="b">
        <v>1</v>
      </c>
      <c r="G9" s="7" t="inlineStr">
        <is>
          <t>BRL</t>
        </is>
      </c>
      <c r="H9" s="7" t="inlineStr">
        <is>
          <t>1Q26 annualized</t>
        </is>
      </c>
      <c r="I9" s="7" t="inlineStr">
        <is>
          <t>1Q26 annualized</t>
        </is>
      </c>
      <c r="J9" s="9" t="n">
        <v>2.297464104803494</v>
      </c>
      <c r="K9" s="9" t="n"/>
      <c r="L9" s="7" t="inlineStr">
        <is>
          <t>N.M. - negative earnings</t>
        </is>
      </c>
      <c r="M9" s="7" t="inlineStr">
        <is>
          <t>notebook_01_annualized_1q26</t>
        </is>
      </c>
    </row>
    <row r="10" ht="48" customHeight="1">
      <c r="A10" s="7" t="inlineStr">
        <is>
          <t>WALMEX.MX</t>
        </is>
      </c>
      <c r="B10" s="7" t="inlineStr">
        <is>
          <t>Walmart de Mexico</t>
        </is>
      </c>
      <c r="C10" s="7" t="inlineStr">
        <is>
          <t>Mexico</t>
        </is>
      </c>
      <c r="D10" s="7" t="inlineStr">
        <is>
          <t>LatAm Peer</t>
        </is>
      </c>
      <c r="E10" s="7" t="inlineStr">
        <is>
          <t>High Quality LatAm Peer</t>
        </is>
      </c>
      <c r="F10" s="7" t="b">
        <v>1</v>
      </c>
      <c r="G10" s="7" t="inlineStr">
        <is>
          <t>MXN</t>
        </is>
      </c>
      <c r="H10" s="7" t="inlineStr">
        <is>
          <t>yfinance trailing EBITDA</t>
        </is>
      </c>
      <c r="I10" s="7" t="inlineStr">
        <is>
          <t>yfinance trailing net income</t>
        </is>
      </c>
      <c r="J10" s="9" t="n">
        <v>9.840999999999999</v>
      </c>
      <c r="K10" s="9" t="n">
        <v>18.222221</v>
      </c>
      <c r="L10" s="7" t="inlineStr">
        <is>
          <t>Calculated</t>
        </is>
      </c>
      <c r="M10" s="7" t="inlineStr">
        <is>
          <t>yfinance</t>
        </is>
      </c>
    </row>
    <row r="11" ht="48" customHeight="1">
      <c r="A11" s="7" t="inlineStr">
        <is>
          <t>CHDRAUIB.MX</t>
        </is>
      </c>
      <c r="B11" s="7" t="inlineStr">
        <is>
          <t>Grupo Comercial Chedraui</t>
        </is>
      </c>
      <c r="C11" s="7" t="inlineStr">
        <is>
          <t>Mexico</t>
        </is>
      </c>
      <c r="D11" s="7" t="inlineStr">
        <is>
          <t>LatAm Peer</t>
        </is>
      </c>
      <c r="E11" s="7" t="inlineStr">
        <is>
          <t>LatAm Food Retail Peer</t>
        </is>
      </c>
      <c r="F11" s="7" t="b">
        <v>1</v>
      </c>
      <c r="G11" s="7" t="inlineStr">
        <is>
          <t>MXN</t>
        </is>
      </c>
      <c r="H11" s="7" t="inlineStr">
        <is>
          <t>yfinance trailing EBITDA</t>
        </is>
      </c>
      <c r="I11" s="7" t="inlineStr">
        <is>
          <t>yfinance trailing net income</t>
        </is>
      </c>
      <c r="J11" s="9" t="n">
        <v>7.217</v>
      </c>
      <c r="K11" s="9" t="n">
        <v>14.390602</v>
      </c>
      <c r="L11" s="7" t="inlineStr">
        <is>
          <t>Calculated</t>
        </is>
      </c>
      <c r="M11" s="7" t="inlineStr">
        <is>
          <t>yfinance</t>
        </is>
      </c>
    </row>
    <row r="12" ht="48" customHeight="1">
      <c r="A12" s="7" t="inlineStr">
        <is>
          <t>SORIANAB.MX</t>
        </is>
      </c>
      <c r="B12" s="7" t="inlineStr">
        <is>
          <t>Organizacion Soriana</t>
        </is>
      </c>
      <c r="C12" s="7" t="inlineStr">
        <is>
          <t>Mexico</t>
        </is>
      </c>
      <c r="D12" s="7" t="inlineStr">
        <is>
          <t>LatAm Peer</t>
        </is>
      </c>
      <c r="E12" s="7" t="inlineStr">
        <is>
          <t>LatAm Food Retail Peer</t>
        </is>
      </c>
      <c r="F12" s="7" t="b">
        <v>1</v>
      </c>
      <c r="G12" s="7" t="inlineStr">
        <is>
          <t>MXN</t>
        </is>
      </c>
      <c r="H12" s="7" t="inlineStr">
        <is>
          <t>yfinance trailing EBITDA</t>
        </is>
      </c>
      <c r="I12" s="7" t="inlineStr">
        <is>
          <t>yfinance trailing net income</t>
        </is>
      </c>
      <c r="J12" s="9" t="n">
        <v>7.398</v>
      </c>
      <c r="K12" s="9" t="n">
        <v>12.700729</v>
      </c>
      <c r="L12" s="7" t="inlineStr">
        <is>
          <t>Calculated</t>
        </is>
      </c>
      <c r="M12" s="7" t="inlineStr">
        <is>
          <t>yfinance</t>
        </is>
      </c>
    </row>
    <row r="13" ht="48" customHeight="1">
      <c r="A13" s="7" t="inlineStr">
        <is>
          <t>CENCOSUD.SN</t>
        </is>
      </c>
      <c r="B13" s="7" t="inlineStr">
        <is>
          <t>Cencosud</t>
        </is>
      </c>
      <c r="C13" s="7" t="inlineStr">
        <is>
          <t>Chile</t>
        </is>
      </c>
      <c r="D13" s="7" t="inlineStr">
        <is>
          <t>LatAm Peer</t>
        </is>
      </c>
      <c r="E13" s="7" t="inlineStr">
        <is>
          <t>LatAm Multi-format Retail Peer</t>
        </is>
      </c>
      <c r="F13" s="7" t="b">
        <v>1</v>
      </c>
      <c r="G13" s="7" t="inlineStr">
        <is>
          <t>CLP</t>
        </is>
      </c>
      <c r="H13" s="7" t="inlineStr">
        <is>
          <t>yfinance trailing EBITDA</t>
        </is>
      </c>
      <c r="I13" s="7" t="inlineStr">
        <is>
          <t>yfinance trailing net income</t>
        </is>
      </c>
      <c r="J13" s="9" t="n">
        <v>10.864</v>
      </c>
      <c r="K13" s="9" t="n">
        <v>20.70428</v>
      </c>
      <c r="L13" s="7" t="inlineStr">
        <is>
          <t>Calculated</t>
        </is>
      </c>
      <c r="M13" s="7" t="inlineStr">
        <is>
          <t>yfinance</t>
        </is>
      </c>
    </row>
  </sheetData>
  <mergeCells count="2">
    <mergeCell ref="A3:M4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8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41" t="inlineStr">
        <is>
          <t>Racional do Multiplo Aplicado</t>
        </is>
      </c>
    </row>
    <row r="3">
      <c r="A3" s="42" t="inlineStr">
        <is>
          <t>O múltiplo aplicado não é uma mediana mecânica. A mediana LatAm ex-distressed é o ponto de partida; avaliamos prêmio por qualidade operacional, mas neutralizamos esse prêmio por causa dos sinais fracos do 1T26.</t>
        </is>
      </c>
    </row>
    <row r="4"/>
    <row r="6" ht="34" customHeight="1">
      <c r="A6" s="24" t="inlineStr">
        <is>
          <t>Etapa</t>
        </is>
      </c>
      <c r="B6" s="24" t="inlineStr">
        <is>
          <t>Efeito no múltiplo</t>
        </is>
      </c>
      <c r="C6" s="24" t="inlineStr">
        <is>
          <t>Múltiplo após etapa</t>
        </is>
      </c>
      <c r="D6" s="24" t="inlineStr">
        <is>
          <t>Racional</t>
        </is>
      </c>
    </row>
    <row r="7" ht="52" customHeight="1">
      <c r="A7" s="7" t="inlineStr">
        <is>
          <t>Starting point: LatAm ex-distressed median</t>
        </is>
      </c>
      <c r="B7" s="9" t="n">
        <v>7.398</v>
      </c>
      <c r="C7" s="9" t="n">
        <v>7.398</v>
      </c>
      <c r="D7" s="7" t="inlineStr">
        <is>
          <t>Cleanest peer set: excludes GPA stress and expands beyond one domestic peer.</t>
        </is>
      </c>
    </row>
    <row r="8" ht="52" customHeight="1">
      <c r="A8" s="7" t="inlineStr">
        <is>
          <t>Operational quality premium considered</t>
        </is>
      </c>
      <c r="B8" s="9" t="n">
        <v>0.2</v>
      </c>
      <c r="C8" s="9" t="n">
        <v>7.598</v>
      </c>
      <c r="D8" s="7" t="inlineStr">
        <is>
          <t>Regional strength, store maturation potential and logistics/distribution relevance support a possible premium.</t>
        </is>
      </c>
    </row>
    <row r="9" ht="52" customHeight="1">
      <c r="A9" s="7" t="inlineStr">
        <is>
          <t>1T26 operating caution discount</t>
        </is>
      </c>
      <c r="B9" s="9" t="n">
        <v>-0.2</v>
      </c>
      <c r="C9" s="9" t="n">
        <v>7.398</v>
      </c>
      <c r="D9" s="7" t="inlineStr">
        <is>
          <t>SSS -7.3%, food deflation, weaker demand and margin-over-volume trade-off reduce conviction.</t>
        </is>
      </c>
    </row>
    <row r="10" ht="52" customHeight="1">
      <c r="A10" s="7" t="inlineStr">
        <is>
          <t>Final applied base multiple</t>
        </is>
      </c>
      <c r="B10" s="9" t="n">
        <v>0</v>
      </c>
      <c r="C10" s="9" t="n">
        <v>7.398</v>
      </c>
      <c r="D10" s="7" t="inlineStr">
        <is>
          <t>Keep 7.4x base multiple: moderate upside, but no aggressive premium until SSS and operating leverage improve.</t>
        </is>
      </c>
    </row>
    <row r="13" ht="34" customHeight="1">
      <c r="A13" s="42" t="inlineStr">
        <is>
          <t>Conclusão: mantemos 7,4x EV/EBITDA no caso base. GMAT3 tem atributos para negociar melhor que uma mediana contaminada por GPA, mas o 1T26 não justifica aplicar prêmio agressivo até SSS, volume e alavancagem operacional melhorarem.</t>
        </is>
      </c>
    </row>
    <row r="14" ht="48" customHeight="1"/>
    <row r="15" ht="48" customHeight="1"/>
  </sheetData>
  <mergeCells count="3">
    <mergeCell ref="A13:H14"/>
    <mergeCell ref="A3:H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4" customWidth="1" min="4" max="4"/>
    <col width="10" customWidth="1" min="5" max="5"/>
    <col width="26" customWidth="1" min="6" max="6"/>
    <col width="24" customWidth="1" min="7" max="7"/>
    <col width="30" customWidth="1" min="8" max="8"/>
    <col width="14" customWidth="1" min="9" max="9"/>
    <col width="55" customWidth="1" min="10" max="10"/>
    <col width="48" customWidth="1" min="11" max="11"/>
  </cols>
  <sheetData>
    <row r="1" ht="28" customHeight="1">
      <c r="A1" s="1" t="inlineStr">
        <is>
          <t>Peer Group e Tratamento Analitico</t>
        </is>
      </c>
    </row>
    <row r="2" ht="34" customHeigh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</row>
    <row r="3" ht="34" customHeight="1">
      <c r="A3" s="4" t="inlineStr">
        <is>
          <t>Ticker</t>
        </is>
      </c>
      <c r="B3" s="4" t="inlineStr">
        <is>
          <t>Empresa</t>
        </is>
      </c>
      <c r="C3" s="4" t="inlineStr">
        <is>
          <t>Pais</t>
        </is>
      </c>
      <c r="D3" s="4" t="inlineStr">
        <is>
          <t>Bolsa</t>
        </is>
      </c>
      <c r="E3" s="4" t="inlineStr">
        <is>
          <t>Moeda</t>
        </is>
      </c>
      <c r="F3" s="4" t="inlineStr">
        <is>
          <t>Segmento</t>
        </is>
      </c>
      <c r="G3" s="4" t="inlineStr">
        <is>
          <t>Papel</t>
        </is>
      </c>
      <c r="H3" s="4" t="inlineStr">
        <is>
          <t>Qualidade</t>
        </is>
      </c>
      <c r="I3" s="4" t="inlineStr">
        <is>
          <t>Entra no calculo?</t>
        </is>
      </c>
      <c r="J3" s="4" t="inlineStr">
        <is>
          <t>Justificativa</t>
        </is>
      </c>
    </row>
    <row r="4" ht="34" customHeight="1">
      <c r="A4" s="7" t="inlineStr">
        <is>
          <t>GMAT3.SA</t>
        </is>
      </c>
      <c r="B4" s="7" t="inlineStr">
        <is>
          <t>Grupo Mateus</t>
        </is>
      </c>
      <c r="C4" s="7" t="inlineStr">
        <is>
          <t>Brazil</t>
        </is>
      </c>
      <c r="D4" s="7" t="inlineStr">
        <is>
          <t>B3</t>
        </is>
      </c>
      <c r="E4" s="7" t="inlineStr">
        <is>
          <t>BRL</t>
        </is>
      </c>
      <c r="F4" s="7" t="inlineStr">
        <is>
          <t>Food Retail and Cash &amp; Carry</t>
        </is>
      </c>
      <c r="G4" s="7" t="inlineStr">
        <is>
          <t>Target</t>
        </is>
      </c>
      <c r="H4" s="7" t="inlineStr">
        <is>
          <t>Target</t>
        </is>
      </c>
      <c r="I4" s="7" t="b">
        <v>0</v>
      </c>
      <c r="J4" s="7" t="inlineStr">
        <is>
          <t>Target company to be valued</t>
        </is>
      </c>
    </row>
    <row r="5" ht="48" customHeight="1">
      <c r="A5" s="7" t="inlineStr">
        <is>
          <t>ASAI3.SA</t>
        </is>
      </c>
      <c r="B5" s="7" t="inlineStr">
        <is>
          <t>Assai</t>
        </is>
      </c>
      <c r="C5" s="7" t="inlineStr">
        <is>
          <t>Brazil</t>
        </is>
      </c>
      <c r="D5" s="7" t="inlineStr">
        <is>
          <t>B3</t>
        </is>
      </c>
      <c r="E5" s="7" t="inlineStr">
        <is>
          <t>BRL</t>
        </is>
      </c>
      <c r="F5" s="7" t="inlineStr">
        <is>
          <t>Cash &amp; Carry</t>
        </is>
      </c>
      <c r="G5" s="7" t="inlineStr">
        <is>
          <t>Domestic Core Peer</t>
        </is>
      </c>
      <c r="H5" s="7" t="inlineStr">
        <is>
          <t>Core Peer</t>
        </is>
      </c>
      <c r="I5" s="7" t="b">
        <v>1</v>
      </c>
      <c r="J5" s="7" t="inlineStr">
        <is>
          <t>Closest listed Brazilian cash and carry comparable</t>
        </is>
      </c>
    </row>
    <row r="6" ht="48" customHeight="1">
      <c r="A6" s="7" t="inlineStr">
        <is>
          <t>PCAR3.SA</t>
        </is>
      </c>
      <c r="B6" s="7" t="inlineStr">
        <is>
          <t>GPA</t>
        </is>
      </c>
      <c r="C6" s="7" t="inlineStr">
        <is>
          <t>Brazil</t>
        </is>
      </c>
      <c r="D6" s="7" t="inlineStr">
        <is>
          <t>B3</t>
        </is>
      </c>
      <c r="E6" s="7" t="inlineStr">
        <is>
          <t>BRL</t>
        </is>
      </c>
      <c r="F6" s="7" t="inlineStr">
        <is>
          <t>Food Retail</t>
        </is>
      </c>
      <c r="G6" s="7" t="inlineStr">
        <is>
          <t>Domestic Distressed Peer</t>
        </is>
      </c>
      <c r="H6" s="7" t="inlineStr">
        <is>
          <t>Distressed / Turnaround Peer</t>
        </is>
      </c>
      <c r="I6" s="7" t="b">
        <v>1</v>
      </c>
      <c r="J6" s="7" t="inlineStr">
        <is>
          <t>Listed Brazilian food retail peer but distressed and should be scenario-tested</t>
        </is>
      </c>
    </row>
    <row r="7" ht="48" customHeight="1">
      <c r="A7" s="7" t="inlineStr">
        <is>
          <t>CRFB3.SA</t>
        </is>
      </c>
      <c r="B7" s="7" t="inlineStr">
        <is>
          <t>Carrefour Brasil / Atacadao</t>
        </is>
      </c>
      <c r="C7" s="7" t="inlineStr">
        <is>
          <t>Brazil</t>
        </is>
      </c>
      <c r="D7" s="7" t="inlineStr">
        <is>
          <t>B3 delisted</t>
        </is>
      </c>
      <c r="E7" s="7" t="inlineStr">
        <is>
          <t>BRL</t>
        </is>
      </c>
      <c r="F7" s="7" t="inlineStr">
        <is>
          <t>Food Retail and Cash &amp; Carry</t>
        </is>
      </c>
      <c r="G7" s="7" t="inlineStr">
        <is>
          <t>Domestic Operational Peer</t>
        </is>
      </c>
      <c r="H7" s="7" t="inlineStr">
        <is>
          <t>Delisted / Operational Reference</t>
        </is>
      </c>
      <c r="I7" s="7" t="b">
        <v>0</v>
      </c>
      <c r="J7" s="7" t="inlineStr">
        <is>
          <t>Operationally relevant but not a current trading comparable after delisting</t>
        </is>
      </c>
    </row>
    <row r="8" ht="48" customHeight="1">
      <c r="A8" s="7" t="inlineStr">
        <is>
          <t>WALMEX.MX</t>
        </is>
      </c>
      <c r="B8" s="7" t="inlineStr">
        <is>
          <t>Walmart de Mexico</t>
        </is>
      </c>
      <c r="C8" s="7" t="inlineStr">
        <is>
          <t>Mexico</t>
        </is>
      </c>
      <c r="D8" s="7" t="inlineStr">
        <is>
          <t>BMV</t>
        </is>
      </c>
      <c r="E8" s="7" t="inlineStr">
        <is>
          <t>MXN</t>
        </is>
      </c>
      <c r="F8" s="7" t="inlineStr">
        <is>
          <t>Food Retail and Clubs</t>
        </is>
      </c>
      <c r="G8" s="7" t="inlineStr">
        <is>
          <t>LatAm Peer</t>
        </is>
      </c>
      <c r="H8" s="7" t="inlineStr">
        <is>
          <t>High Quality LatAm Peer</t>
        </is>
      </c>
      <c r="I8" s="7" t="b">
        <v>1</v>
      </c>
      <c r="J8" s="7" t="inlineStr">
        <is>
          <t>Large LatAm food retail and club-store operator</t>
        </is>
      </c>
    </row>
    <row r="9" ht="48" customHeight="1">
      <c r="A9" s="7" t="inlineStr">
        <is>
          <t>CHDRAUIB.MX</t>
        </is>
      </c>
      <c r="B9" s="7" t="inlineStr">
        <is>
          <t>Grupo Comercial Chedraui</t>
        </is>
      </c>
      <c r="C9" s="7" t="inlineStr">
        <is>
          <t>Mexico</t>
        </is>
      </c>
      <c r="D9" s="7" t="inlineStr">
        <is>
          <t>BMV</t>
        </is>
      </c>
      <c r="E9" s="7" t="inlineStr">
        <is>
          <t>MXN</t>
        </is>
      </c>
      <c r="F9" s="7" t="inlineStr">
        <is>
          <t>Food Retail</t>
        </is>
      </c>
      <c r="G9" s="7" t="inlineStr">
        <is>
          <t>LatAm Peer</t>
        </is>
      </c>
      <c r="H9" s="7" t="inlineStr">
        <is>
          <t>LatAm Food Retail Peer</t>
        </is>
      </c>
      <c r="I9" s="7" t="b">
        <v>1</v>
      </c>
      <c r="J9" s="7" t="inlineStr">
        <is>
          <t>Mexican food retail operator with Mexico and US exposure</t>
        </is>
      </c>
    </row>
    <row r="10" ht="48" customHeight="1">
      <c r="A10" s="7" t="inlineStr">
        <is>
          <t>SORIANAB.MX</t>
        </is>
      </c>
      <c r="B10" s="7" t="inlineStr">
        <is>
          <t>Organizacion Soriana</t>
        </is>
      </c>
      <c r="C10" s="7" t="inlineStr">
        <is>
          <t>Mexico</t>
        </is>
      </c>
      <c r="D10" s="7" t="inlineStr">
        <is>
          <t>BMV</t>
        </is>
      </c>
      <c r="E10" s="7" t="inlineStr">
        <is>
          <t>MXN</t>
        </is>
      </c>
      <c r="F10" s="7" t="inlineStr">
        <is>
          <t>Food Retail</t>
        </is>
      </c>
      <c r="G10" s="7" t="inlineStr">
        <is>
          <t>LatAm Peer</t>
        </is>
      </c>
      <c r="H10" s="7" t="inlineStr">
        <is>
          <t>LatAm Food Retail Peer</t>
        </is>
      </c>
      <c r="I10" s="7" t="b">
        <v>1</v>
      </c>
      <c r="J10" s="7" t="inlineStr">
        <is>
          <t>Mexican supermarket and food retail operator</t>
        </is>
      </c>
    </row>
    <row r="11" ht="48" customHeight="1">
      <c r="A11" s="7" t="inlineStr">
        <is>
          <t>CENCOSUD.SN</t>
        </is>
      </c>
      <c r="B11" s="7" t="inlineStr">
        <is>
          <t>Cencosud</t>
        </is>
      </c>
      <c r="C11" s="7" t="inlineStr">
        <is>
          <t>Chile</t>
        </is>
      </c>
      <c r="D11" s="7" t="inlineStr">
        <is>
          <t>Santiago</t>
        </is>
      </c>
      <c r="E11" s="7" t="inlineStr">
        <is>
          <t>CLP</t>
        </is>
      </c>
      <c r="F11" s="7" t="inlineStr">
        <is>
          <t>Food Retail and Multi-format Retail</t>
        </is>
      </c>
      <c r="G11" s="7" t="inlineStr">
        <is>
          <t>LatAm Peer</t>
        </is>
      </c>
      <c r="H11" s="7" t="inlineStr">
        <is>
          <t>LatAm Multi-format Retail Peer</t>
        </is>
      </c>
      <c r="I11" s="7" t="b">
        <v>1</v>
      </c>
      <c r="J11" s="7" t="inlineStr">
        <is>
          <t>Large Chilean and regional retail operator with food retail exposure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30" customWidth="1" min="4" max="4"/>
    <col width="24" customWidth="1" min="5" max="5"/>
    <col width="72" customWidth="1" min="6" max="6"/>
  </cols>
  <sheetData>
    <row r="1">
      <c r="A1" s="43" t="inlineStr">
        <is>
          <t>Peer Selection | Inclusões e Exclusões</t>
        </is>
      </c>
    </row>
    <row r="3">
      <c r="A3" s="42" t="inlineStr">
        <is>
          <t>O peer group parte de um universo amplo de varejo alimentar, atacarejo e warehouse clubs. A mediana principal prioriza empresas listadas com maior comparabilidade regional e operacional. Nomes globais ou com modelo muito diferente ficam fora da mediana, mas podem ser usados como contexto qualitativo.</t>
        </is>
      </c>
    </row>
    <row r="4"/>
    <row r="6">
      <c r="A6" s="44" t="inlineStr">
        <is>
          <t>Empresa</t>
        </is>
      </c>
      <c r="B6" s="44" t="inlineStr">
        <is>
          <t>Ticker</t>
        </is>
      </c>
      <c r="C6" s="44" t="inlineStr">
        <is>
          <t>País</t>
        </is>
      </c>
      <c r="D6" s="44" t="inlineStr">
        <is>
          <t>Segmento</t>
        </is>
      </c>
      <c r="E6" s="44" t="inlineStr">
        <is>
          <t>Decisão</t>
        </is>
      </c>
      <c r="F6" s="44" t="inlineStr">
        <is>
          <t>Racional</t>
        </is>
      </c>
    </row>
    <row r="7" ht="54" customHeight="1">
      <c r="A7" s="7" t="inlineStr">
        <is>
          <t>Walmart Inc.</t>
        </is>
      </c>
      <c r="B7" s="7" t="inlineStr">
        <is>
          <t>WMT</t>
        </is>
      </c>
      <c r="C7" s="7" t="inlineStr">
        <is>
          <t>United States</t>
        </is>
      </c>
      <c r="D7" s="7" t="inlineStr">
        <is>
          <t>Global food retail and mass retail</t>
        </is>
      </c>
      <c r="E7" s="7" t="inlineStr">
        <is>
          <t>Excluded from main median</t>
        </is>
      </c>
      <c r="F7" s="7" t="inlineStr">
        <is>
          <t>Very large developed-market global retailer; scale, country risk, format mix and valuation profile are not directly comparable to GMAT3.</t>
        </is>
      </c>
    </row>
    <row r="8" ht="54" customHeight="1">
      <c r="A8" s="7" t="inlineStr">
        <is>
          <t>Costco Wholesale</t>
        </is>
      </c>
      <c r="B8" s="7" t="inlineStr">
        <is>
          <t>COST</t>
        </is>
      </c>
      <c r="C8" s="7" t="inlineStr">
        <is>
          <t>United States</t>
        </is>
      </c>
      <c r="D8" s="7" t="inlineStr">
        <is>
          <t>Warehouse club / membership retail</t>
        </is>
      </c>
      <c r="E8" s="7" t="inlineStr">
        <is>
          <t>Excluded from main median</t>
        </is>
      </c>
      <c r="F8" s="7" t="inlineStr">
        <is>
          <t>High-quality global warehouse club with membership model and structurally premium multiple; useful as context but not appropriate for the main LatAm food retail median.</t>
        </is>
      </c>
    </row>
    <row r="9" ht="54" customHeight="1">
      <c r="A9" s="7" t="inlineStr">
        <is>
          <t>Kroger</t>
        </is>
      </c>
      <c r="B9" s="7" t="inlineStr">
        <is>
          <t>KR</t>
        </is>
      </c>
      <c r="C9" s="7" t="inlineStr">
        <is>
          <t>United States</t>
        </is>
      </c>
      <c r="D9" s="7" t="inlineStr">
        <is>
          <t>Supermarket / grocery retail</t>
        </is>
      </c>
      <c r="E9" s="7" t="inlineStr">
        <is>
          <t>Excluded from main median</t>
        </is>
      </c>
      <c r="F9" s="7" t="inlineStr">
        <is>
          <t>US grocery operator in a mature developed market; operating model and market structure differ from Brazilian cash-and-carry and regional food retail.</t>
        </is>
      </c>
    </row>
    <row r="10" ht="54" customHeight="1">
      <c r="A10" s="7" t="inlineStr">
        <is>
          <t>BJ's Wholesale Club</t>
        </is>
      </c>
      <c r="B10" s="7" t="inlineStr">
        <is>
          <t>BJ</t>
        </is>
      </c>
      <c r="C10" s="7" t="inlineStr">
        <is>
          <t>United States</t>
        </is>
      </c>
      <c r="D10" s="7" t="inlineStr">
        <is>
          <t>Warehouse club / membership retail</t>
        </is>
      </c>
      <c r="E10" s="7" t="inlineStr">
        <is>
          <t>Excluded from main median</t>
        </is>
      </c>
      <c r="F10" s="7" t="inlineStr">
        <is>
          <t>Closer to cash-and-carry in format but US membership-club economics and developed-market risk profile reduce comparability.</t>
        </is>
      </c>
    </row>
    <row r="11" ht="54" customHeight="1">
      <c r="A11" s="7" t="inlineStr">
        <is>
          <t>Carrefour SA</t>
        </is>
      </c>
      <c r="B11" s="7" t="inlineStr">
        <is>
          <t>CA.PA</t>
        </is>
      </c>
      <c r="C11" s="7" t="inlineStr">
        <is>
          <t>France</t>
        </is>
      </c>
      <c r="D11" s="7" t="inlineStr">
        <is>
          <t>Global food retail</t>
        </is>
      </c>
      <c r="E11" s="7" t="inlineStr">
        <is>
          <t>Excluded from main median</t>
        </is>
      </c>
      <c r="F11" s="7" t="inlineStr">
        <is>
          <t>Global multi-country retailer; consolidated multiple reflects Europe and global portfolio, not specifically Brazilian Atacadao economics.</t>
        </is>
      </c>
    </row>
    <row r="12" ht="54" customHeight="1">
      <c r="A12" s="7" t="inlineStr">
        <is>
          <t>Carrefour Brasil / Atacadao</t>
        </is>
      </c>
      <c r="B12" s="7" t="inlineStr">
        <is>
          <t>CRFB3.SA</t>
        </is>
      </c>
      <c r="C12" s="7" t="inlineStr">
        <is>
          <t>Brazil</t>
        </is>
      </c>
      <c r="D12" s="7" t="inlineStr">
        <is>
          <t>Food retail and cash-and-carry</t>
        </is>
      </c>
      <c r="E12" s="7" t="inlineStr">
        <is>
          <t>Operational reference only</t>
        </is>
      </c>
      <c r="F12" s="7" t="inlineStr">
        <is>
          <t>Highly relevant operationally, but CRFB3 was delisted and no longer provides a current listed trading multiple.</t>
        </is>
      </c>
    </row>
    <row r="13" ht="54" customHeight="1">
      <c r="A13" s="7" t="inlineStr">
        <is>
          <t>Casino Guichard-Perrachon</t>
        </is>
      </c>
      <c r="B13" s="7" t="inlineStr">
        <is>
          <t>CO.PA</t>
        </is>
      </c>
      <c r="C13" s="7" t="inlineStr">
        <is>
          <t>France</t>
        </is>
      </c>
      <c r="D13" s="7" t="inlineStr">
        <is>
          <t>Food retail / distressed retail</t>
        </is>
      </c>
      <c r="E13" s="7" t="inlineStr">
        <is>
          <t>Excluded from main median</t>
        </is>
      </c>
      <c r="F13" s="7" t="inlineStr">
        <is>
          <t>Financial distress, restructuring and European exposure make the multiple unsuitable as a normalized food retail benchmark.</t>
        </is>
      </c>
    </row>
    <row r="14" ht="54" customHeight="1">
      <c r="A14" s="7" t="inlineStr">
        <is>
          <t>Sendas / Assai</t>
        </is>
      </c>
      <c r="B14" s="7" t="inlineStr">
        <is>
          <t>ASAI3.SA</t>
        </is>
      </c>
      <c r="C14" s="7" t="inlineStr">
        <is>
          <t>Brazil</t>
        </is>
      </c>
      <c r="D14" s="7" t="inlineStr">
        <is>
          <t>Cash-and-carry</t>
        </is>
      </c>
      <c r="E14" s="7" t="inlineStr">
        <is>
          <t>Included</t>
        </is>
      </c>
      <c r="F14" s="7" t="inlineStr">
        <is>
          <t>Closest listed Brazilian cash-and-carry peer and the cleanest domestic benchmark for GMAT3.</t>
        </is>
      </c>
    </row>
    <row r="15" ht="54" customHeight="1">
      <c r="A15" s="7" t="inlineStr">
        <is>
          <t>GPA</t>
        </is>
      </c>
      <c r="B15" s="7" t="inlineStr">
        <is>
          <t>PCAR3.SA</t>
        </is>
      </c>
      <c r="C15" s="7" t="inlineStr">
        <is>
          <t>Brazil</t>
        </is>
      </c>
      <c r="D15" s="7" t="inlineStr">
        <is>
          <t>Food retail</t>
        </is>
      </c>
      <c r="E15" s="7" t="inlineStr">
        <is>
          <t>Included as stress case</t>
        </is>
      </c>
      <c r="F15" s="7" t="inlineStr">
        <is>
          <t>Listed Brazilian food retail peer, but negative earnings and turnaround profile mean it should be used as stress/downside reference, not central fair-value benchmark.</t>
        </is>
      </c>
    </row>
    <row r="16" ht="54" customHeight="1">
      <c r="A16" s="7" t="inlineStr">
        <is>
          <t>Walmart de Mexico</t>
        </is>
      </c>
      <c r="B16" s="7" t="inlineStr">
        <is>
          <t>WALMEX.MX</t>
        </is>
      </c>
      <c r="C16" s="7" t="inlineStr">
        <is>
          <t>Mexico</t>
        </is>
      </c>
      <c r="D16" s="7" t="inlineStr">
        <is>
          <t>Food retail and clubs</t>
        </is>
      </c>
      <c r="E16" s="7" t="inlineStr">
        <is>
          <t>Included</t>
        </is>
      </c>
      <c r="F16" s="7" t="inlineStr">
        <is>
          <t>High-quality LatAm food retail and club-store operator; useful for expanded regional peer set.</t>
        </is>
      </c>
    </row>
    <row r="17" ht="54" customHeight="1">
      <c r="A17" s="7" t="inlineStr">
        <is>
          <t>Grupo Comercial Chedraui</t>
        </is>
      </c>
      <c r="B17" s="7" t="inlineStr">
        <is>
          <t>CHDRAUIB.MX</t>
        </is>
      </c>
      <c r="C17" s="7" t="inlineStr">
        <is>
          <t>Mexico</t>
        </is>
      </c>
      <c r="D17" s="7" t="inlineStr">
        <is>
          <t>Food retail</t>
        </is>
      </c>
      <c r="E17" s="7" t="inlineStr">
        <is>
          <t>Included</t>
        </is>
      </c>
      <c r="F17" s="7" t="inlineStr">
        <is>
          <t>Listed LatAm food retailer with grocery exposure and available market multiples.</t>
        </is>
      </c>
    </row>
    <row r="18" ht="54" customHeight="1">
      <c r="A18" s="7" t="inlineStr">
        <is>
          <t>Organizacion Soriana</t>
        </is>
      </c>
      <c r="B18" s="7" t="inlineStr">
        <is>
          <t>SORIANAB.MX</t>
        </is>
      </c>
      <c r="C18" s="7" t="inlineStr">
        <is>
          <t>Mexico</t>
        </is>
      </c>
      <c r="D18" s="7" t="inlineStr">
        <is>
          <t>Food retail</t>
        </is>
      </c>
      <c r="E18" s="7" t="inlineStr">
        <is>
          <t>Included</t>
        </is>
      </c>
      <c r="F18" s="7" t="inlineStr">
        <is>
          <t>Listed Mexican supermarket and food retail operator; useful for broader LatAm food retail median.</t>
        </is>
      </c>
    </row>
    <row r="19" ht="54" customHeight="1">
      <c r="A19" s="7" t="inlineStr">
        <is>
          <t>Cencosud</t>
        </is>
      </c>
      <c r="B19" s="7" t="inlineStr">
        <is>
          <t>CENCOSUD.SN</t>
        </is>
      </c>
      <c r="C19" s="7" t="inlineStr">
        <is>
          <t>Chile</t>
        </is>
      </c>
      <c r="D19" s="7" t="inlineStr">
        <is>
          <t>Food retail and multi-format retail</t>
        </is>
      </c>
      <c r="E19" s="7" t="inlineStr">
        <is>
          <t>Included</t>
        </is>
      </c>
      <c r="F19" s="7" t="inlineStr">
        <is>
          <t>Large listed LatAm retailer with food retail exposure, though multi-format nature requires comparability caution.</t>
        </is>
      </c>
    </row>
  </sheetData>
  <mergeCells count="2">
    <mergeCell ref="A3:F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30" customWidth="1" min="4" max="4"/>
    <col width="13" customWidth="1" min="5" max="5"/>
    <col width="13" customWidth="1" min="6" max="6"/>
    <col width="24" customWidth="1" min="7" max="7"/>
    <col width="12" customWidth="1" min="8" max="8"/>
    <col width="26" customWidth="1" min="9" max="9"/>
    <col width="45" customWidth="1" min="10" max="10"/>
    <col width="48" customWidth="1" min="11" max="11"/>
  </cols>
  <sheetData>
    <row r="1" ht="28" customHeight="1">
      <c r="A1" s="1" t="inlineStr">
        <is>
          <t>Multiplos de Mercado</t>
        </is>
      </c>
    </row>
    <row r="2" ht="34" customHeigh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</row>
    <row r="3" ht="34" customHeight="1">
      <c r="A3" s="4" t="inlineStr">
        <is>
          <t>Ticker</t>
        </is>
      </c>
      <c r="B3" s="4" t="inlineStr">
        <is>
          <t>Empresa</t>
        </is>
      </c>
      <c r="C3" s="4" t="inlineStr">
        <is>
          <t>Pais</t>
        </is>
      </c>
      <c r="D3" s="4" t="inlineStr">
        <is>
          <t>Tipo</t>
        </is>
      </c>
      <c r="E3" s="4" t="inlineStr">
        <is>
          <t>EV/EBITDA</t>
        </is>
      </c>
      <c r="F3" s="4" t="inlineStr">
        <is>
          <t>P/L</t>
        </is>
      </c>
      <c r="G3" s="4" t="inlineStr">
        <is>
          <t>Status P/L</t>
        </is>
      </c>
      <c r="H3" s="4" t="inlineStr">
        <is>
          <t>Incluido?</t>
        </is>
      </c>
      <c r="I3" s="4" t="inlineStr">
        <is>
          <t>Fonte</t>
        </is>
      </c>
    </row>
    <row r="4" ht="34" customHeight="1">
      <c r="A4" s="7" t="inlineStr">
        <is>
          <t>PCAR3.SA</t>
        </is>
      </c>
      <c r="B4" s="7" t="inlineStr">
        <is>
          <t>GPA</t>
        </is>
      </c>
      <c r="C4" s="7" t="inlineStr">
        <is>
          <t>Brazil</t>
        </is>
      </c>
      <c r="D4" s="7" t="inlineStr">
        <is>
          <t>Distressed / Turnaround Peer</t>
        </is>
      </c>
      <c r="E4" s="9" t="n">
        <v>2.297464104803494</v>
      </c>
      <c r="F4" s="7" t="inlineStr">
        <is>
          <t>N.M.</t>
        </is>
      </c>
      <c r="G4" s="7" t="inlineStr">
        <is>
          <t>N.M. - negative earnings</t>
        </is>
      </c>
      <c r="H4" s="7" t="b">
        <v>1</v>
      </c>
      <c r="I4" s="7" t="inlineStr">
        <is>
          <t>notebook_01_annualized_1q26</t>
        </is>
      </c>
    </row>
    <row r="5" ht="48" customHeight="1">
      <c r="A5" s="7" t="inlineStr">
        <is>
          <t>ASAI3.SA</t>
        </is>
      </c>
      <c r="B5" s="7" t="inlineStr">
        <is>
          <t>Assai</t>
        </is>
      </c>
      <c r="C5" s="7" t="inlineStr">
        <is>
          <t>Brazil</t>
        </is>
      </c>
      <c r="D5" s="7" t="inlineStr">
        <is>
          <t>Core Peer</t>
        </is>
      </c>
      <c r="E5" s="9" t="n">
        <v>6.104796544</v>
      </c>
      <c r="F5" s="9" t="n">
        <v>17.83216404597701</v>
      </c>
      <c r="G5" s="7" t="inlineStr">
        <is>
          <t>Calculated</t>
        </is>
      </c>
      <c r="H5" s="7" t="b">
        <v>1</v>
      </c>
      <c r="I5" s="7" t="inlineStr">
        <is>
          <t>notebook_01_annualized_1q26</t>
        </is>
      </c>
    </row>
    <row r="6" ht="48" customHeight="1">
      <c r="A6" s="7" t="inlineStr">
        <is>
          <t>GMAT3.SA</t>
        </is>
      </c>
      <c r="B6" s="7" t="inlineStr">
        <is>
          <t>Grupo Mateus</t>
        </is>
      </c>
      <c r="C6" s="7" t="inlineStr">
        <is>
          <t>Brazil</t>
        </is>
      </c>
      <c r="D6" s="7" t="inlineStr">
        <is>
          <t>Target</t>
        </is>
      </c>
      <c r="E6" s="9" t="n">
        <v>6.583877119999999</v>
      </c>
      <c r="F6" s="9" t="n">
        <v>11.50023872300469</v>
      </c>
      <c r="G6" s="7" t="inlineStr">
        <is>
          <t>Calculated</t>
        </is>
      </c>
      <c r="H6" s="7" t="b">
        <v>0</v>
      </c>
      <c r="I6" s="7" t="inlineStr">
        <is>
          <t>notebook_01_annualized_1q26</t>
        </is>
      </c>
    </row>
    <row r="7" ht="48" customHeight="1">
      <c r="A7" s="7" t="inlineStr">
        <is>
          <t>CHDRAUIB.MX</t>
        </is>
      </c>
      <c r="B7" s="7" t="inlineStr">
        <is>
          <t>Grupo Comercial Chedraui</t>
        </is>
      </c>
      <c r="C7" s="7" t="inlineStr">
        <is>
          <t>Mexico</t>
        </is>
      </c>
      <c r="D7" s="7" t="inlineStr">
        <is>
          <t>LatAm Food Retail Peer</t>
        </is>
      </c>
      <c r="E7" s="9" t="n">
        <v>7.217</v>
      </c>
      <c r="F7" s="9" t="n">
        <v>14.390602</v>
      </c>
      <c r="G7" s="7" t="inlineStr">
        <is>
          <t>Calculated</t>
        </is>
      </c>
      <c r="H7" s="7" t="b">
        <v>1</v>
      </c>
      <c r="I7" s="7" t="inlineStr">
        <is>
          <t>yfinance</t>
        </is>
      </c>
    </row>
    <row r="8" ht="48" customHeight="1">
      <c r="A8" s="7" t="inlineStr">
        <is>
          <t>SORIANAB.MX</t>
        </is>
      </c>
      <c r="B8" s="7" t="inlineStr">
        <is>
          <t>Organizacion Soriana</t>
        </is>
      </c>
      <c r="C8" s="7" t="inlineStr">
        <is>
          <t>Mexico</t>
        </is>
      </c>
      <c r="D8" s="7" t="inlineStr">
        <is>
          <t>LatAm Food Retail Peer</t>
        </is>
      </c>
      <c r="E8" s="9" t="n">
        <v>7.398</v>
      </c>
      <c r="F8" s="9" t="n">
        <v>12.700729</v>
      </c>
      <c r="G8" s="7" t="inlineStr">
        <is>
          <t>Calculated</t>
        </is>
      </c>
      <c r="H8" s="7" t="b">
        <v>1</v>
      </c>
      <c r="I8" s="7" t="inlineStr">
        <is>
          <t>yfinance</t>
        </is>
      </c>
    </row>
    <row r="9" ht="48" customHeight="1">
      <c r="A9" s="7" t="inlineStr">
        <is>
          <t>WALMEX.MX</t>
        </is>
      </c>
      <c r="B9" s="7" t="inlineStr">
        <is>
          <t>Walmart de Mexico</t>
        </is>
      </c>
      <c r="C9" s="7" t="inlineStr">
        <is>
          <t>Mexico</t>
        </is>
      </c>
      <c r="D9" s="7" t="inlineStr">
        <is>
          <t>High Quality LatAm Peer</t>
        </is>
      </c>
      <c r="E9" s="9" t="n">
        <v>9.840999999999999</v>
      </c>
      <c r="F9" s="9" t="n">
        <v>18.222221</v>
      </c>
      <c r="G9" s="7" t="inlineStr">
        <is>
          <t>Calculated</t>
        </is>
      </c>
      <c r="H9" s="7" t="b">
        <v>1</v>
      </c>
      <c r="I9" s="7" t="inlineStr">
        <is>
          <t>yfinance</t>
        </is>
      </c>
    </row>
    <row r="10" ht="48" customHeight="1">
      <c r="A10" s="7" t="inlineStr">
        <is>
          <t>CENCOSUD.SN</t>
        </is>
      </c>
      <c r="B10" s="7" t="inlineStr">
        <is>
          <t>Cencosud</t>
        </is>
      </c>
      <c r="C10" s="7" t="inlineStr">
        <is>
          <t>Chile</t>
        </is>
      </c>
      <c r="D10" s="7" t="inlineStr">
        <is>
          <t>LatAm Multi-format Retail Peer</t>
        </is>
      </c>
      <c r="E10" s="9" t="n">
        <v>10.864</v>
      </c>
      <c r="F10" s="9" t="n">
        <v>20.70428</v>
      </c>
      <c r="G10" s="7" t="inlineStr">
        <is>
          <t>Calculated</t>
        </is>
      </c>
      <c r="H10" s="7" t="b">
        <v>1</v>
      </c>
      <c r="I10" s="7" t="inlineStr">
        <is>
          <t>yfinance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55" customWidth="1" min="11" max="11"/>
    <col width="48" customWidth="1" min="12" max="12"/>
  </cols>
  <sheetData>
    <row r="1" ht="28" customHeight="1">
      <c r="A1" s="1" t="inlineStr">
        <is>
          <t>Valuation por Multiplos | Ponte EV para Equity</t>
        </is>
      </c>
      <c r="L1" s="32" t="n"/>
    </row>
    <row r="2" ht="34" customHeight="1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2" t="n"/>
    </row>
    <row r="3" ht="34" customHeight="1">
      <c r="A3" s="4" t="inlineStr">
        <is>
          <t>Cenario</t>
        </is>
      </c>
      <c r="B3" s="4" t="inlineStr">
        <is>
          <t>Multiplo</t>
        </is>
      </c>
      <c r="C3" s="4" t="inlineStr">
        <is>
          <t>EBITDA</t>
        </is>
      </c>
      <c r="D3" s="4" t="inlineStr">
        <is>
          <t>EV implicito</t>
        </is>
      </c>
      <c r="E3" s="4" t="inlineStr">
        <is>
          <t>Divida liquida</t>
        </is>
      </c>
      <c r="F3" s="4" t="inlineStr">
        <is>
          <t>Equity value</t>
        </is>
      </c>
      <c r="G3" s="4" t="inlineStr">
        <is>
          <t>Acoes</t>
        </is>
      </c>
      <c r="H3" s="4" t="inlineStr">
        <is>
          <t>Preco justo</t>
        </is>
      </c>
      <c r="I3" s="4" t="inlineStr">
        <is>
          <t>Preco atual</t>
        </is>
      </c>
      <c r="J3" s="4" t="inlineStr">
        <is>
          <t>Upside</t>
        </is>
      </c>
      <c r="K3" s="4" t="inlineStr">
        <is>
          <t>Metodologia</t>
        </is>
      </c>
      <c r="L3" s="38" t="inlineStr">
        <is>
          <t>Leitura qualitativa</t>
        </is>
      </c>
    </row>
    <row r="4" ht="34" customHeight="1">
      <c r="A4" s="7" t="inlineStr">
        <is>
          <t>Conservative Case</t>
        </is>
      </c>
      <c r="B4" s="9" t="n">
        <v>6.382847408</v>
      </c>
      <c r="C4" s="10" t="n">
        <v>1600</v>
      </c>
      <c r="D4" s="10">
        <f>B4*C4</f>
        <v/>
      </c>
      <c r="E4" s="10" t="n">
        <v>736</v>
      </c>
      <c r="F4" s="10">
        <f>D4-E4</f>
        <v/>
      </c>
      <c r="G4" s="11" t="n">
        <v>2300047621</v>
      </c>
      <c r="H4" s="6">
        <f>F4*1000000/G4</f>
        <v/>
      </c>
      <c r="I4" s="6" t="n">
        <v>4.26</v>
      </c>
      <c r="J4" s="8">
        <f>H4/I4-1</f>
        <v/>
      </c>
      <c r="K4" s="7" t="inlineStr">
        <is>
          <t>25th percentile of full traded peer set, including GPA</t>
        </is>
      </c>
      <c r="L4" s="25" t="inlineStr">
        <is>
          <t>Stress case: downside risk if weak SSS and margin pressure persist.</t>
        </is>
      </c>
    </row>
    <row r="5" ht="48" customHeight="1">
      <c r="A5" s="7" t="inlineStr">
        <is>
          <t>Domestic Listed Median</t>
        </is>
      </c>
      <c r="B5" s="9" t="n">
        <v>4.201130324401747</v>
      </c>
      <c r="C5" s="10" t="n">
        <v>1600</v>
      </c>
      <c r="D5" s="10">
        <f>B5*C5</f>
        <v/>
      </c>
      <c r="E5" s="10" t="n">
        <v>736</v>
      </c>
      <c r="F5" s="10">
        <f>D5-E5</f>
        <v/>
      </c>
      <c r="G5" s="11" t="n">
        <v>2300047621</v>
      </c>
      <c r="H5" s="6">
        <f>F5*1000000/G5</f>
        <v/>
      </c>
      <c r="I5" s="6" t="n">
        <v>4.26</v>
      </c>
      <c r="J5" s="8">
        <f>H5/I5-1</f>
        <v/>
      </c>
      <c r="K5" s="7" t="inlineStr">
        <is>
          <t>Median of Brazilian listed peers, including distressed GPA</t>
        </is>
      </c>
      <c r="L5" s="25" t="inlineStr">
        <is>
          <t>Stress case: downside risk if weak SSS and margin pressure persist.</t>
        </is>
      </c>
    </row>
    <row r="6" ht="48" customHeight="1">
      <c r="A6" s="7" t="inlineStr">
        <is>
          <t>Domestic Core Case</t>
        </is>
      </c>
      <c r="B6" s="9" t="n">
        <v>6.104796544</v>
      </c>
      <c r="C6" s="10" t="n">
        <v>1600</v>
      </c>
      <c r="D6" s="10">
        <f>B6*C6</f>
        <v/>
      </c>
      <c r="E6" s="10" t="n">
        <v>736</v>
      </c>
      <c r="F6" s="10">
        <f>D6-E6</f>
        <v/>
      </c>
      <c r="G6" s="11" t="n">
        <v>2300047621</v>
      </c>
      <c r="H6" s="6">
        <f>F6*1000000/G6</f>
        <v/>
      </c>
      <c r="I6" s="6" t="n">
        <v>4.26</v>
      </c>
      <c r="J6" s="8">
        <f>H6/I6-1</f>
        <v/>
      </c>
      <c r="K6" s="7" t="inlineStr">
        <is>
          <t>Assai-only case as closest domestic listed comparable</t>
        </is>
      </c>
      <c r="L6" s="25" t="inlineStr">
        <is>
          <t>Scenario output should be interpreted with 1T26 operating caution.</t>
        </is>
      </c>
    </row>
    <row r="7" ht="48" customHeight="1">
      <c r="A7" s="7" t="inlineStr">
        <is>
          <t>Expanded LatAm ex-Distressed Median</t>
        </is>
      </c>
      <c r="B7" s="9" t="n">
        <v>7.398</v>
      </c>
      <c r="C7" s="10" t="n">
        <v>1600</v>
      </c>
      <c r="D7" s="10">
        <f>B7*C7</f>
        <v/>
      </c>
      <c r="E7" s="10" t="n">
        <v>736</v>
      </c>
      <c r="F7" s="10">
        <f>D7-E7</f>
        <v/>
      </c>
      <c r="G7" s="11" t="n">
        <v>2300047621</v>
      </c>
      <c r="H7" s="6">
        <f>F7*1000000/G7</f>
        <v/>
      </c>
      <c r="I7" s="6" t="n">
        <v>4.26</v>
      </c>
      <c r="J7" s="8">
        <f>H7/I7-1</f>
        <v/>
      </c>
      <c r="K7" s="7" t="inlineStr">
        <is>
          <t>Median of traded peers excluding distressed GPA and delisted Carrefour Brasil</t>
        </is>
      </c>
      <c r="L7" s="25" t="inlineStr">
        <is>
          <t>Base case: moderate upside, but operational caution required.</t>
        </is>
      </c>
    </row>
    <row r="8" ht="48" customHeight="1">
      <c r="A8" s="7" t="inlineStr">
        <is>
          <t>Expanded LatAm including GPA Median</t>
        </is>
      </c>
      <c r="B8" s="9" t="n">
        <v>7.307499999999999</v>
      </c>
      <c r="C8" s="10" t="n">
        <v>1600</v>
      </c>
      <c r="D8" s="10">
        <f>B8*C8</f>
        <v/>
      </c>
      <c r="E8" s="10" t="n">
        <v>736</v>
      </c>
      <c r="F8" s="10">
        <f>D8-E8</f>
        <v/>
      </c>
      <c r="G8" s="11" t="n">
        <v>2300047621</v>
      </c>
      <c r="H8" s="6">
        <f>F8*1000000/G8</f>
        <v/>
      </c>
      <c r="I8" s="6" t="n">
        <v>4.26</v>
      </c>
      <c r="J8" s="8">
        <f>H8/I8-1</f>
        <v/>
      </c>
      <c r="K8" s="7" t="inlineStr">
        <is>
          <t>Median of all traded peers, including GPA</t>
        </is>
      </c>
      <c r="L8" s="25" t="inlineStr">
        <is>
          <t>Scenario output should be interpreted with 1T26 operating caution.</t>
        </is>
      </c>
    </row>
    <row r="9" ht="48" customHeight="1">
      <c r="A9" s="7" t="inlineStr">
        <is>
          <t>Upside Case</t>
        </is>
      </c>
      <c r="B9" s="9" t="n">
        <v>9.840999999999999</v>
      </c>
      <c r="C9" s="10" t="n">
        <v>1600</v>
      </c>
      <c r="D9" s="10">
        <f>B9*C9</f>
        <v/>
      </c>
      <c r="E9" s="10" t="n">
        <v>736</v>
      </c>
      <c r="F9" s="10">
        <f>D9-E9</f>
        <v/>
      </c>
      <c r="G9" s="11" t="n">
        <v>2300047621</v>
      </c>
      <c r="H9" s="6">
        <f>F9*1000000/G9</f>
        <v/>
      </c>
      <c r="I9" s="6" t="n">
        <v>4.26</v>
      </c>
      <c r="J9" s="8">
        <f>H9/I9-1</f>
        <v/>
      </c>
      <c r="K9" s="7" t="inlineStr">
        <is>
          <t>Higher of GMAT3 current EV/EBITDA and ex-distressed peer 75th percentile</t>
        </is>
      </c>
      <c r="L9" s="25" t="inlineStr">
        <is>
          <t>Bull case: upside increases if SSS normalizes and margin protection continues.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Sensibilidade de Preco Justo</t>
        </is>
      </c>
    </row>
    <row r="2" ht="34" customHeight="1">
      <c r="A2" s="37" t="n"/>
      <c r="B2" s="37" t="n"/>
      <c r="C2" s="37" t="n"/>
      <c r="D2" s="37" t="n"/>
      <c r="E2" s="37" t="n"/>
      <c r="F2" s="37" t="n"/>
      <c r="G2" s="37" t="n"/>
      <c r="H2" s="37" t="n"/>
    </row>
    <row r="3" ht="34" customHeight="1">
      <c r="A3" s="37" t="n"/>
      <c r="B3" s="37" t="n"/>
      <c r="C3" s="37" t="n"/>
      <c r="D3" s="37" t="n"/>
      <c r="E3" s="37" t="n"/>
      <c r="F3" s="37" t="n"/>
      <c r="G3" s="37" t="n"/>
      <c r="H3" s="37" t="n"/>
    </row>
    <row r="4" ht="34" customHeight="1">
      <c r="A4" s="4" t="inlineStr">
        <is>
          <t>EBITDA / Multiplo</t>
        </is>
      </c>
      <c r="B4" s="12" t="n">
        <v>5.5</v>
      </c>
      <c r="C4" s="12" t="n">
        <v>6.5</v>
      </c>
      <c r="D4" s="12" t="n">
        <v>7</v>
      </c>
      <c r="E4" s="12" t="n">
        <v>7.5</v>
      </c>
      <c r="F4" s="12" t="n">
        <v>8</v>
      </c>
      <c r="G4" s="12" t="n">
        <v>9</v>
      </c>
      <c r="H4" s="12" t="n">
        <v>10</v>
      </c>
    </row>
    <row r="5" ht="48" customHeight="1">
      <c r="A5" s="10" t="n">
        <v>1400</v>
      </c>
      <c r="B5" s="6">
        <f>($A5*B$4-736)*1000000/2300047621.0</f>
        <v/>
      </c>
      <c r="C5" s="6">
        <f>($A5*C$4-736)*1000000/2300047621.0</f>
        <v/>
      </c>
      <c r="D5" s="6">
        <f>($A5*D$4-736)*1000000/2300047621.0</f>
        <v/>
      </c>
      <c r="E5" s="6">
        <f>($A5*E$4-736)*1000000/2300047621.0</f>
        <v/>
      </c>
      <c r="F5" s="6">
        <f>($A5*F$4-736)*1000000/2300047621.0</f>
        <v/>
      </c>
      <c r="G5" s="6">
        <f>($A5*G$4-736)*1000000/2300047621.0</f>
        <v/>
      </c>
      <c r="H5" s="6">
        <f>($A5*H$4-736)*1000000/2300047621.0</f>
        <v/>
      </c>
    </row>
    <row r="6" ht="48" customHeight="1">
      <c r="A6" s="10" t="n">
        <v>1500</v>
      </c>
      <c r="B6" s="6">
        <f>($A6*B$4-736)*1000000/2300047621.0</f>
        <v/>
      </c>
      <c r="C6" s="6">
        <f>($A6*C$4-736)*1000000/2300047621.0</f>
        <v/>
      </c>
      <c r="D6" s="6">
        <f>($A6*D$4-736)*1000000/2300047621.0</f>
        <v/>
      </c>
      <c r="E6" s="6">
        <f>($A6*E$4-736)*1000000/2300047621.0</f>
        <v/>
      </c>
      <c r="F6" s="6">
        <f>($A6*F$4-736)*1000000/2300047621.0</f>
        <v/>
      </c>
      <c r="G6" s="6">
        <f>($A6*G$4-736)*1000000/2300047621.0</f>
        <v/>
      </c>
      <c r="H6" s="6">
        <f>($A6*H$4-736)*1000000/2300047621.0</f>
        <v/>
      </c>
    </row>
    <row r="7" ht="48" customHeight="1">
      <c r="A7" s="10" t="n">
        <v>1600</v>
      </c>
      <c r="B7" s="6">
        <f>($A7*B$4-736)*1000000/2300047621.0</f>
        <v/>
      </c>
      <c r="C7" s="6">
        <f>($A7*C$4-736)*1000000/2300047621.0</f>
        <v/>
      </c>
      <c r="D7" s="6">
        <f>($A7*D$4-736)*1000000/2300047621.0</f>
        <v/>
      </c>
      <c r="E7" s="6">
        <f>($A7*E$4-736)*1000000/2300047621.0</f>
        <v/>
      </c>
      <c r="F7" s="6">
        <f>($A7*F$4-736)*1000000/2300047621.0</f>
        <v/>
      </c>
      <c r="G7" s="6">
        <f>($A7*G$4-736)*1000000/2300047621.0</f>
        <v/>
      </c>
      <c r="H7" s="6">
        <f>($A7*H$4-736)*1000000/2300047621.0</f>
        <v/>
      </c>
    </row>
    <row r="8" ht="48" customHeight="1">
      <c r="A8" s="10" t="n">
        <v>1700</v>
      </c>
      <c r="B8" s="6">
        <f>($A8*B$4-736)*1000000/2300047621.0</f>
        <v/>
      </c>
      <c r="C8" s="6">
        <f>($A8*C$4-736)*1000000/2300047621.0</f>
        <v/>
      </c>
      <c r="D8" s="6">
        <f>($A8*D$4-736)*1000000/2300047621.0</f>
        <v/>
      </c>
      <c r="E8" s="6">
        <f>($A8*E$4-736)*1000000/2300047621.0</f>
        <v/>
      </c>
      <c r="F8" s="6">
        <f>($A8*F$4-736)*1000000/2300047621.0</f>
        <v/>
      </c>
      <c r="G8" s="6">
        <f>($A8*G$4-736)*1000000/2300047621.0</f>
        <v/>
      </c>
      <c r="H8" s="6">
        <f>($A8*H$4-736)*1000000/2300047621.0</f>
        <v/>
      </c>
    </row>
    <row r="9" ht="48" customHeight="1">
      <c r="A9" s="10" t="n">
        <v>1800</v>
      </c>
      <c r="B9" s="6">
        <f>($A9*B$4-736)*1000000/2300047621.0</f>
        <v/>
      </c>
      <c r="C9" s="6">
        <f>($A9*C$4-736)*1000000/2300047621.0</f>
        <v/>
      </c>
      <c r="D9" s="6">
        <f>($A9*D$4-736)*1000000/2300047621.0</f>
        <v/>
      </c>
      <c r="E9" s="6">
        <f>($A9*E$4-736)*1000000/2300047621.0</f>
        <v/>
      </c>
      <c r="F9" s="6">
        <f>($A9*F$4-736)*1000000/2300047621.0</f>
        <v/>
      </c>
      <c r="G9" s="6">
        <f>($A9*G$4-736)*1000000/2300047621.0</f>
        <v/>
      </c>
      <c r="H9" s="6">
        <f>($A9*H$4-736)*1000000/2300047621.0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8" customWidth="1" min="4" max="4"/>
    <col width="10" customWidth="1" min="5" max="5"/>
    <col width="20" customWidth="1" min="6" max="6"/>
    <col width="20" customWidth="1" min="7" max="7"/>
    <col width="42" customWidth="1" min="8" max="8"/>
  </cols>
  <sheetData>
    <row r="1" ht="28" customHeight="1">
      <c r="A1" s="17" t="inlineStr">
        <is>
          <t>Lucro Liquido Setorial</t>
        </is>
      </c>
      <c r="B1" s="26" t="n"/>
      <c r="C1" s="26" t="n"/>
      <c r="D1" s="26" t="n"/>
      <c r="E1" s="26" t="n"/>
      <c r="F1" s="26" t="n"/>
      <c r="G1" s="26" t="n"/>
      <c r="H1" s="27" t="n"/>
    </row>
    <row r="2" ht="34" customHeight="1">
      <c r="A2" s="18" t="n"/>
      <c r="B2" s="18" t="n"/>
      <c r="C2" s="18" t="n"/>
      <c r="D2" s="18" t="n"/>
      <c r="E2" s="18" t="n"/>
      <c r="F2" s="18" t="n"/>
      <c r="G2" s="18" t="n"/>
      <c r="H2" s="18" t="n"/>
    </row>
    <row r="3" ht="34" customHeight="1">
      <c r="A3" s="19" t="inlineStr">
        <is>
          <t>Lucro liquido setorial calculado separadamente para Brasil em BRL milhões. Nao somamos LatAm porque Walmex, Chedraui, Soriana e Cencosud reportam em outras moedas.</t>
        </is>
      </c>
      <c r="B3" s="26" t="n"/>
      <c r="C3" s="26" t="n"/>
      <c r="D3" s="26" t="n"/>
      <c r="E3" s="26" t="n"/>
      <c r="F3" s="26" t="n"/>
      <c r="G3" s="26" t="n"/>
      <c r="H3" s="27" t="n"/>
    </row>
    <row r="4" ht="34" customHeight="1">
      <c r="A4" s="18" t="n"/>
      <c r="B4" s="18" t="n"/>
      <c r="C4" s="18" t="n"/>
      <c r="D4" s="18" t="n"/>
      <c r="E4" s="18" t="n"/>
      <c r="F4" s="18" t="n"/>
      <c r="G4" s="18" t="n"/>
      <c r="H4" s="18" t="n"/>
    </row>
    <row r="5" ht="48" customHeight="1">
      <c r="A5" s="20" t="inlineStr">
        <is>
          <t>Recorte</t>
        </is>
      </c>
      <c r="B5" s="20" t="inlineStr">
        <is>
          <t>Moeda</t>
        </is>
      </c>
      <c r="C5" s="20" t="inlineStr">
        <is>
          <t>Base</t>
        </is>
      </c>
      <c r="D5" s="20" t="inlineStr">
        <is>
          <t>Empresas</t>
        </is>
      </c>
      <c r="E5" s="20" t="inlineStr">
        <is>
          <t>Qtd.</t>
        </is>
      </c>
      <c r="F5" s="20" t="inlineStr">
        <is>
          <t>Lucro liquido total</t>
        </is>
      </c>
      <c r="G5" s="20" t="inlineStr">
        <is>
          <t>Lucro positivo</t>
        </is>
      </c>
      <c r="H5" s="20" t="inlineStr">
        <is>
          <t>Leitura</t>
        </is>
      </c>
    </row>
    <row r="6" ht="48" customHeight="1">
      <c r="A6" s="21" t="inlineStr">
        <is>
          <t>Brazil listed food retail incl. GMAT3 and GPA</t>
        </is>
      </c>
      <c r="B6" s="21" t="inlineStr">
        <is>
          <t>BRL</t>
        </is>
      </c>
      <c r="C6" s="21" t="inlineStr">
        <is>
          <t>1Q26 annualized</t>
        </is>
      </c>
      <c r="D6" s="21" t="inlineStr">
        <is>
          <t>GMAT3.SA, ASAI3.SA, PCAR3.SA</t>
        </is>
      </c>
      <c r="E6" s="21" t="n">
        <v>3</v>
      </c>
      <c r="F6" s="22" t="n">
        <v>-3840</v>
      </c>
      <c r="G6" s="22" t="n">
        <v>1548</v>
      </c>
      <c r="H6" s="21" t="inlineStr">
        <is>
          <t>Recorte mais limpo para lucro positivo.</t>
        </is>
      </c>
    </row>
    <row r="7" ht="48" customHeight="1">
      <c r="A7" s="21" t="inlineStr">
        <is>
          <t>Brazil peers only incl. GPA</t>
        </is>
      </c>
      <c r="B7" s="21" t="inlineStr">
        <is>
          <t>BRL</t>
        </is>
      </c>
      <c r="C7" s="21" t="inlineStr">
        <is>
          <t>1Q26 annualized</t>
        </is>
      </c>
      <c r="D7" s="21" t="inlineStr">
        <is>
          <t>ASAI3.SA, PCAR3.SA</t>
        </is>
      </c>
      <c r="E7" s="21" t="n">
        <v>2</v>
      </c>
      <c r="F7" s="22" t="n">
        <v>-4692</v>
      </c>
      <c r="G7" s="22" t="n">
        <v>696</v>
      </c>
      <c r="H7" s="21" t="inlineStr">
        <is>
          <t>Recorte mais limpo para lucro positivo.</t>
        </is>
      </c>
    </row>
    <row r="8" ht="48" customHeight="1">
      <c r="A8" s="21" t="inlineStr">
        <is>
          <t>Brazil peers ex-distressed GPA</t>
        </is>
      </c>
      <c r="B8" s="21" t="inlineStr">
        <is>
          <t>BRL</t>
        </is>
      </c>
      <c r="C8" s="21" t="inlineStr">
        <is>
          <t>1Q26 annualized</t>
        </is>
      </c>
      <c r="D8" s="21" t="inlineStr">
        <is>
          <t>ASAI3.SA</t>
        </is>
      </c>
      <c r="E8" s="21" t="n">
        <v>1</v>
      </c>
      <c r="F8" s="22" t="n">
        <v>696</v>
      </c>
      <c r="G8" s="22" t="n">
        <v>696</v>
      </c>
      <c r="H8" s="21" t="inlineStr">
        <is>
          <t>Recorte mais limpo para lucro positivo.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42" customWidth="1" min="4" max="4"/>
    <col width="42" customWidth="1" min="5" max="5"/>
    <col width="42" customWidth="1" min="6" max="6"/>
    <col width="22" customWidth="1" min="7" max="7"/>
    <col width="25" customWidth="1" min="8" max="8"/>
    <col width="18" customWidth="1" min="9" max="9"/>
    <col width="45" customWidth="1" min="10" max="10"/>
    <col width="48" customWidth="1" min="11" max="11"/>
  </cols>
  <sheetData>
    <row r="1" ht="28" customHeight="1">
      <c r="A1" s="31" t="inlineStr">
        <is>
          <t>Overlay Operacional 1T26</t>
        </is>
      </c>
    </row>
    <row r="2" ht="34" customHeight="1">
      <c r="A2" s="32" t="n"/>
      <c r="B2" s="32" t="n"/>
      <c r="C2" s="32" t="n"/>
      <c r="D2" s="32" t="n"/>
      <c r="E2" s="32" t="n"/>
      <c r="F2" s="32" t="n"/>
    </row>
    <row r="3" ht="34" customHeight="1">
      <c r="A3" s="23" t="inlineStr">
        <is>
          <t>O valuation aponta upside moderado, mas os dados operacionais do 1T26 reduzem a convicção. O ponto central é que a empresa protegeu margem bruta, mas sofreu com SSS negativo, deflação alimentar e desalavancagem operacional.</t>
        </is>
      </c>
    </row>
    <row r="4" ht="34" customHeight="1">
      <c r="A4" s="32" t="n"/>
      <c r="B4" s="32" t="n"/>
      <c r="C4" s="32" t="n"/>
      <c r="D4" s="32" t="n"/>
      <c r="E4" s="32" t="n"/>
      <c r="F4" s="32" t="n"/>
    </row>
    <row r="5" ht="48" customHeight="1">
      <c r="A5" s="38" t="inlineStr">
        <is>
          <t>Métrica</t>
        </is>
      </c>
      <c r="B5" s="38" t="inlineStr">
        <is>
          <t>Valor</t>
        </is>
      </c>
      <c r="C5" s="38" t="inlineStr">
        <is>
          <t>Unidade</t>
        </is>
      </c>
      <c r="D5" s="38" t="inlineStr">
        <is>
          <t>Leitura</t>
        </is>
      </c>
      <c r="E5" s="38" t="inlineStr">
        <is>
          <t>Impacto na tese</t>
        </is>
      </c>
      <c r="F5" s="38" t="inlineStr">
        <is>
          <t>Mensagem para apresentação</t>
        </is>
      </c>
    </row>
    <row r="6" ht="48" customHeight="1">
      <c r="A6" s="7" t="inlineStr">
        <is>
          <t>Net revenue growth YoY</t>
        </is>
      </c>
      <c r="B6" s="29" t="n">
        <v>12.9</v>
      </c>
      <c r="C6" s="7" t="inlineStr">
        <is>
          <t>%</t>
        </is>
      </c>
      <c r="D6" s="7" t="inlineStr">
        <is>
          <t>Revenue still grew, helped by consolidation and channel growth.</t>
        </is>
      </c>
      <c r="E6" s="7" t="inlineStr">
        <is>
          <t>Positivo, mas não suficiente para compensar pressão de lucro.</t>
        </is>
      </c>
      <c r="F6" s="7" t="inlineStr">
        <is>
          <t>Upside existe, mas precisa ser lido com cautela operacional.</t>
        </is>
      </c>
    </row>
    <row r="7" ht="48" customHeight="1">
      <c r="A7" s="7" t="inlineStr">
        <is>
          <t>Net income growth YoY</t>
        </is>
      </c>
      <c r="B7" s="29" t="n">
        <v>-21.8</v>
      </c>
      <c r="C7" s="7" t="inlineStr">
        <is>
          <t>%</t>
        </is>
      </c>
      <c r="D7" s="7" t="inlineStr">
        <is>
          <t>Profitability deteriorated despite revenue growth.</t>
        </is>
      </c>
      <c r="E7" s="7" t="inlineStr">
        <is>
          <t>Negativo para convicção de curto prazo.</t>
        </is>
      </c>
      <c r="F7" s="7" t="inlineStr">
        <is>
          <t>Upside existe, mas precisa ser lido com cautela operacional.</t>
        </is>
      </c>
    </row>
    <row r="8" ht="48" customHeight="1">
      <c r="A8" s="7" t="inlineStr">
        <is>
          <t>Same-store sales growth</t>
        </is>
      </c>
      <c r="B8" s="29" t="n">
        <v>-7.3</v>
      </c>
      <c r="C8" s="7" t="inlineStr">
        <is>
          <t>%</t>
        </is>
      </c>
      <c r="D8" s="7" t="inlineStr">
        <is>
          <t>Negative SSS points to weaker mature-store momentum.</t>
        </is>
      </c>
      <c r="E8" s="7" t="inlineStr">
        <is>
          <t>Principal alerta operacional.</t>
        </is>
      </c>
      <c r="F8" s="7" t="inlineStr">
        <is>
          <t>Upside existe, mas precisa ser lido com cautela operacional.</t>
        </is>
      </c>
    </row>
    <row r="9" ht="48" customHeight="1">
      <c r="A9" s="7" t="inlineStr">
        <is>
          <t>Gross margin</t>
        </is>
      </c>
      <c r="B9" s="29" t="n">
        <v>22.9</v>
      </c>
      <c r="C9" s="7" t="inlineStr">
        <is>
          <t>%</t>
        </is>
      </c>
      <c r="D9" s="7" t="inlineStr">
        <is>
          <t>Margin protection worked at the gross profit level.</t>
        </is>
      </c>
      <c r="E9" s="7" t="inlineStr">
        <is>
          <t>Mostra preservação de margem.</t>
        </is>
      </c>
      <c r="F9" s="7" t="inlineStr">
        <is>
          <t>Upside existe, mas precisa ser lido com cautela operacional.</t>
        </is>
      </c>
    </row>
    <row r="10" ht="48" customHeight="1">
      <c r="A10" s="7" t="inlineStr">
        <is>
          <t>EBITDA margin pre-IFRS 16</t>
        </is>
      </c>
      <c r="B10" s="29" t="n">
        <v>4.3</v>
      </c>
      <c r="C10" s="7" t="inlineStr">
        <is>
          <t>%</t>
        </is>
      </c>
      <c r="D10" s="7" t="inlineStr">
        <is>
          <t>Pre-IFRS profitability remains pressured.</t>
        </is>
      </c>
      <c r="E10" s="7" t="inlineStr">
        <is>
          <t>Mostra pressão operacional antes do efeito IFRS 16.</t>
        </is>
      </c>
      <c r="F10" s="7" t="inlineStr">
        <is>
          <t>Upside existe, mas precisa ser lido com cautela operacional.</t>
        </is>
      </c>
    </row>
    <row r="11" ht="48" customHeight="1">
      <c r="A11" s="7" t="inlineStr">
        <is>
          <t>EBITDA margin post-IFRS 16</t>
        </is>
      </c>
      <c r="B11" s="29" t="n">
        <v>5.8</v>
      </c>
      <c r="C11" s="7" t="inlineStr">
        <is>
          <t>%</t>
        </is>
      </c>
      <c r="D11" s="7" t="inlineStr">
        <is>
          <t>Post-IFRS 16 EBITDA margin also declined YoY.</t>
        </is>
      </c>
      <c r="E11" s="7" t="inlineStr">
        <is>
          <t>Margem reportada ainda pressionada.</t>
        </is>
      </c>
      <c r="F11" s="7" t="inlineStr">
        <is>
          <t>Upside existe, mas precisa ser lido com cautela operacional.</t>
        </is>
      </c>
    </row>
    <row r="12" ht="48" customHeight="1">
      <c r="A12" s="7" t="inlineStr">
        <is>
          <t>EBITDA pre-IFRS 16</t>
        </is>
      </c>
      <c r="B12" s="30" t="n">
        <v>399.8</v>
      </c>
      <c r="C12" s="7" t="inlineStr">
        <is>
          <t>BRL mn</t>
        </is>
      </c>
      <c r="D12" s="7" t="inlineStr">
        <is>
          <t>Used as an operating quality reference versus annualized EBITDA.</t>
        </is>
      </c>
      <c r="E12" s="7" t="inlineStr">
        <is>
          <t>Base operacional mais conservadora.</t>
        </is>
      </c>
      <c r="F12" s="7" t="inlineStr">
        <is>
          <t>Upside existe, mas precisa ser lido com cautela operacional.</t>
        </is>
      </c>
    </row>
    <row r="13" ht="48" customHeight="1">
      <c r="A13" s="7" t="inlineStr">
        <is>
          <t>EBITDA post-IFRS 16</t>
        </is>
      </c>
      <c r="B13" s="30" t="n">
        <v>543</v>
      </c>
      <c r="C13" s="7" t="inlineStr">
        <is>
          <t>BRL mn</t>
        </is>
      </c>
      <c r="D13" s="7" t="inlineStr">
        <is>
          <t>Reported post-IFRS EBITDA reference.</t>
        </is>
      </c>
      <c r="E13" s="7" t="inlineStr">
        <is>
          <t>Referência reportada pós-arrendamento.</t>
        </is>
      </c>
      <c r="F13" s="7" t="inlineStr">
        <is>
          <t>Upside existe, mas precisa ser lido com cautela operacional.</t>
        </is>
      </c>
    </row>
    <row r="14" ht="48" customHeight="1">
      <c r="A14" s="32" t="n"/>
      <c r="B14" s="32" t="n"/>
      <c r="C14" s="32" t="n"/>
      <c r="D14" s="32" t="n"/>
      <c r="E14" s="32" t="n"/>
      <c r="F14" s="32" t="n"/>
    </row>
    <row r="15" ht="48" customHeight="1">
      <c r="A15" s="32" t="n"/>
      <c r="B15" s="32" t="n"/>
      <c r="C15" s="32" t="n"/>
      <c r="D15" s="32" t="n"/>
      <c r="E15" s="32" t="n"/>
      <c r="F15" s="32" t="n"/>
    </row>
    <row r="16" ht="48" customHeight="1">
      <c r="A16" s="38" t="inlineStr">
        <is>
          <t>Pilar operacional</t>
        </is>
      </c>
      <c r="B16" s="38" t="inlineStr">
        <is>
          <t>Tese</t>
        </is>
      </c>
      <c r="C16" s="38" t="inlineStr">
        <is>
          <t>Risco</t>
        </is>
      </c>
      <c r="D16" s="32" t="n"/>
      <c r="E16" s="32" t="n"/>
      <c r="F16" s="32" t="n"/>
    </row>
    <row r="17" ht="48" customHeight="1">
      <c r="A17" s="7" t="inlineStr">
        <is>
          <t>Crescimento regional</t>
        </is>
      </c>
      <c r="B17" s="7" t="inlineStr">
        <is>
          <t>Força regional ainda sustenta a tese estrutural.</t>
        </is>
      </c>
      <c r="C17" s="7" t="inlineStr">
        <is>
          <t>Expansão fora do core pode reduzir retorno.</t>
        </is>
      </c>
      <c r="D17" s="32" t="n"/>
      <c r="E17" s="32" t="n"/>
      <c r="F17" s="32" t="n"/>
    </row>
    <row r="18" ht="48" customHeight="1">
      <c r="A18" s="7" t="inlineStr">
        <is>
          <t>Maturação de lojas</t>
        </is>
      </c>
      <c r="B18" s="7" t="inlineStr">
        <is>
          <t>Normalização de SSS é chave para o re-rating.</t>
        </is>
      </c>
      <c r="C18" s="7" t="inlineStr">
        <is>
          <t>SSS negativo prolongado limita upside.</t>
        </is>
      </c>
      <c r="D18" s="32" t="n"/>
      <c r="E18" s="32" t="n"/>
      <c r="F18" s="32" t="n"/>
    </row>
    <row r="19" ht="48" customHeight="1">
      <c r="A19" s="7" t="inlineStr">
        <is>
          <t>Logística e distribuição</t>
        </is>
      </c>
      <c r="B19" s="7" t="inlineStr">
        <is>
          <t>Eficiência logística pode proteger margem.</t>
        </is>
      </c>
      <c r="C19" s="7" t="inlineStr">
        <is>
          <t>Custo logístico e ruptura podem pressionar rentabilidade.</t>
        </is>
      </c>
      <c r="D19" s="32" t="n"/>
      <c r="E19" s="32" t="n"/>
      <c r="F19" s="32" t="n"/>
    </row>
    <row r="20" ht="48" customHeight="1">
      <c r="A20" s="7" t="inlineStr">
        <is>
          <t>Margem EBITDA</t>
        </is>
      </c>
      <c r="B20" s="7" t="inlineStr">
        <is>
          <t>Preservação de margem é positiva, mas não pode depender de queda de volume.</t>
        </is>
      </c>
      <c r="C20" s="7" t="inlineStr">
        <is>
          <t>Trade-off margem vs volume reduz qualidade do crescimento.</t>
        </is>
      </c>
      <c r="D20" s="32" t="n"/>
      <c r="E20" s="32" t="n"/>
      <c r="F20" s="32" t="n"/>
    </row>
    <row r="21" ht="48" customHeight="1">
      <c r="A21" s="7" t="inlineStr">
        <is>
          <t>Competição no atacarejo</t>
        </is>
      </c>
      <c r="B21" s="7" t="inlineStr">
        <is>
          <t>Setor segue estruturalmente relevante.</t>
        </is>
      </c>
      <c r="C21" s="7" t="inlineStr">
        <is>
          <t>Assaí, Atacadão e players regionais pressionam preços.</t>
        </is>
      </c>
      <c r="D21" s="32" t="n"/>
      <c r="E21" s="32" t="n"/>
      <c r="F21" s="32" t="n"/>
    </row>
  </sheetData>
  <mergeCells count="2">
    <mergeCell ref="A3:F3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4" customWidth="1" min="4" max="4"/>
    <col width="16" customWidth="1" min="5" max="5"/>
    <col width="24" customWidth="1" min="6" max="6"/>
    <col width="65" customWidth="1" min="7" max="7"/>
    <col width="34" customWidth="1" min="8" max="8"/>
    <col width="40" customWidth="1" min="9" max="9"/>
    <col width="45" customWidth="1" min="10" max="10"/>
    <col width="48" customWidth="1" min="11" max="11"/>
  </cols>
  <sheetData>
    <row r="1" ht="28" customHeight="1">
      <c r="A1" s="31" t="inlineStr">
        <is>
          <t>Fontes e Data-base</t>
        </is>
      </c>
    </row>
    <row r="2" ht="34" customHeight="1">
      <c r="A2" s="32" t="n"/>
      <c r="B2" s="32" t="n"/>
      <c r="C2" s="32" t="n"/>
      <c r="D2" s="32" t="n"/>
      <c r="E2" s="32" t="n"/>
      <c r="F2" s="32" t="n"/>
      <c r="G2" s="32" t="n"/>
      <c r="H2" s="32" t="n"/>
    </row>
    <row r="3" ht="34" customHeight="1">
      <c r="A3" s="38" t="inlineStr">
        <is>
          <t>ID</t>
        </is>
      </c>
      <c r="B3" s="38" t="inlineStr">
        <is>
          <t>Item</t>
        </is>
      </c>
      <c r="C3" s="38" t="inlineStr">
        <is>
          <t>Empresa</t>
        </is>
      </c>
      <c r="D3" s="38" t="inlineStr">
        <is>
          <t>Ticker</t>
        </is>
      </c>
      <c r="E3" s="38" t="inlineStr">
        <is>
          <t>Periodo/Data</t>
        </is>
      </c>
      <c r="F3" s="38" t="inlineStr">
        <is>
          <t>Tipo</t>
        </is>
      </c>
      <c r="G3" s="38" t="inlineStr">
        <is>
          <t>Fonte</t>
        </is>
      </c>
      <c r="H3" s="38" t="inlineStr">
        <is>
          <t>Uso</t>
        </is>
      </c>
    </row>
    <row r="4" ht="34" customHeight="1">
      <c r="A4" s="7" t="inlineStr">
        <is>
          <t>SRC001</t>
        </is>
      </c>
      <c r="B4" s="7" t="inlineStr">
        <is>
          <t>1T26 earnings release</t>
        </is>
      </c>
      <c r="C4" s="7" t="inlineStr">
        <is>
          <t>Grupo Mateus</t>
        </is>
      </c>
      <c r="D4" s="7" t="inlineStr">
        <is>
          <t>GMAT3.SA</t>
        </is>
      </c>
      <c r="E4" s="7" t="inlineStr">
        <is>
          <t>1T26</t>
        </is>
      </c>
      <c r="F4" s="7" t="inlineStr">
        <is>
          <t>Company filing / IR</t>
        </is>
      </c>
      <c r="G4" s="7" t="inlineStr">
        <is>
          <t>https://ri.grupomateus.com.br/central-de-resultados/</t>
        </is>
      </c>
      <c r="H4" s="7" t="inlineStr">
        <is>
          <t>Raw Brazilian fundamentals</t>
        </is>
      </c>
    </row>
    <row r="5" ht="48" customHeight="1">
      <c r="A5" s="7" t="inlineStr">
        <is>
          <t>SRC002</t>
        </is>
      </c>
      <c r="B5" s="7" t="inlineStr">
        <is>
          <t>1T26 earnings release</t>
        </is>
      </c>
      <c r="C5" s="7" t="inlineStr">
        <is>
          <t>Assai</t>
        </is>
      </c>
      <c r="D5" s="7" t="inlineStr">
        <is>
          <t>ASAI3.SA</t>
        </is>
      </c>
      <c r="E5" s="7" t="inlineStr">
        <is>
          <t>1T26</t>
        </is>
      </c>
      <c r="F5" s="7" t="inlineStr">
        <is>
          <t>Company filing / IR</t>
        </is>
      </c>
      <c r="G5" s="7" t="inlineStr">
        <is>
          <t>https://ri.assai.com.br/informacoes-financeiras/resultados-trimestrais/</t>
        </is>
      </c>
      <c r="H5" s="7" t="inlineStr">
        <is>
          <t>Raw Brazilian fundamentals</t>
        </is>
      </c>
    </row>
    <row r="6" ht="48" customHeight="1">
      <c r="A6" s="7" t="inlineStr">
        <is>
          <t>SRC003</t>
        </is>
      </c>
      <c r="B6" s="7" t="inlineStr">
        <is>
          <t>1T26 earnings release</t>
        </is>
      </c>
      <c r="C6" s="7" t="inlineStr">
        <is>
          <t>GPA</t>
        </is>
      </c>
      <c r="D6" s="7" t="inlineStr">
        <is>
          <t>PCAR3.SA</t>
        </is>
      </c>
      <c r="E6" s="7" t="inlineStr">
        <is>
          <t>1T26</t>
        </is>
      </c>
      <c r="F6" s="7" t="inlineStr">
        <is>
          <t>Company filing / IR</t>
        </is>
      </c>
      <c r="G6" s="7" t="inlineStr">
        <is>
          <t>https://www.gpari.com.br/</t>
        </is>
      </c>
      <c r="H6" s="7" t="inlineStr">
        <is>
          <t>Raw Brazilian fundamentals</t>
        </is>
      </c>
    </row>
    <row r="7" ht="48" customHeight="1">
      <c r="A7" s="7" t="inlineStr">
        <is>
          <t>SRC004</t>
        </is>
      </c>
      <c r="B7" s="7" t="inlineStr">
        <is>
          <t>Market data and LatAm multiples</t>
        </is>
      </c>
      <c r="C7" s="7" t="inlineStr">
        <is>
          <t>Expanded peer group</t>
        </is>
      </c>
      <c r="D7" s="7" t="n"/>
      <c r="E7" s="7" t="inlineStr">
        <is>
          <t>2026-05-31</t>
        </is>
      </c>
      <c r="F7" s="7" t="inlineStr">
        <is>
          <t>Market data</t>
        </is>
      </c>
      <c r="G7" s="7" t="inlineStr">
        <is>
          <t>https://finance.yahoo.com/</t>
        </is>
      </c>
      <c r="H7" s="7" t="inlineStr">
        <is>
          <t>Current prices market caps EV EBITDA net income and multiples</t>
        </is>
      </c>
    </row>
    <row r="8" ht="48" customHeight="1">
      <c r="A8" s="7" t="inlineStr">
        <is>
          <t>SRC005</t>
        </is>
      </c>
      <c r="B8" s="7" t="inlineStr">
        <is>
          <t>Carrefour Brasil delisting</t>
        </is>
      </c>
      <c r="C8" s="7" t="inlineStr">
        <is>
          <t>Carrefour Brasil / Atacadao</t>
        </is>
      </c>
      <c r="D8" s="7" t="inlineStr">
        <is>
          <t>CRFB3.SA</t>
        </is>
      </c>
      <c r="E8" s="7" t="inlineStr">
        <is>
          <t>2025-05-30</t>
        </is>
      </c>
      <c r="F8" s="7" t="inlineStr">
        <is>
          <t>Market/news source</t>
        </is>
      </c>
      <c r="G8" s="7" t="inlineStr">
        <is>
          <t>https://investalk.bb.com.br/noticias/mercado/acao-do-carrefour-crfb3-da-adeus-a-b3-como-ficam-os-acionistas</t>
        </is>
      </c>
      <c r="H8" s="7" t="inlineStr">
        <is>
          <t>Peer treatment</t>
        </is>
      </c>
    </row>
    <row r="9" ht="48" customHeight="1">
      <c r="A9" s="7" t="inlineStr">
        <is>
          <t>SRC006</t>
        </is>
      </c>
      <c r="B9" s="7" t="inlineStr">
        <is>
          <t>Grupo Mateus operating strategy</t>
        </is>
      </c>
      <c r="C9" s="7" t="inlineStr">
        <is>
          <t>Grupo Mateus</t>
        </is>
      </c>
      <c r="D9" s="7" t="inlineStr">
        <is>
          <t>GMAT3.SA</t>
        </is>
      </c>
      <c r="E9" s="7" t="inlineStr">
        <is>
          <t>current</t>
        </is>
      </c>
      <c r="F9" s="7" t="inlineStr">
        <is>
          <t>Company IR</t>
        </is>
      </c>
      <c r="G9" s="7" t="inlineStr">
        <is>
          <t>https://ri.grupomateus.com.br/en/the-group/strategy/</t>
        </is>
      </c>
      <c r="H9" s="7" t="inlineStr">
        <is>
          <t>Operating thesis</t>
        </is>
      </c>
    </row>
    <row r="10" ht="48" customHeight="1">
      <c r="A10" s="7" t="inlineStr">
        <is>
          <t>SRC007</t>
        </is>
      </c>
      <c r="B10" s="7" t="inlineStr">
        <is>
          <t>Peer selection framework</t>
        </is>
      </c>
      <c r="C10" s="7" t="inlineStr">
        <is>
          <t>All peers</t>
        </is>
      </c>
      <c r="D10" s="7" t="n"/>
      <c r="E10" s="7" t="inlineStr">
        <is>
          <t>2026-05-31</t>
        </is>
      </c>
      <c r="F10" s="7" t="inlineStr">
        <is>
          <t>Analyst judgment</t>
        </is>
      </c>
      <c r="G10" s="7" t="inlineStr">
        <is>
          <t>Internal model</t>
        </is>
      </c>
      <c r="H10" s="7" t="inlineStr">
        <is>
          <t>Peer group classification</t>
        </is>
      </c>
    </row>
    <row r="11" ht="48" customHeight="1">
      <c r="A11" s="7" t="inlineStr">
        <is>
          <t>SRC008</t>
        </is>
      </c>
      <c r="B11" s="7" t="inlineStr">
        <is>
          <t>1T26 operating evidence</t>
        </is>
      </c>
      <c r="C11" s="7" t="inlineStr">
        <is>
          <t>Grupo Mateus</t>
        </is>
      </c>
      <c r="D11" s="7" t="inlineStr">
        <is>
          <t>GMAT3.SA</t>
        </is>
      </c>
      <c r="E11" s="7" t="inlineStr">
        <is>
          <t>2026-05-14</t>
        </is>
      </c>
      <c r="F11" s="7" t="inlineStr">
        <is>
          <t>News / earnings analysis</t>
        </is>
      </c>
      <c r="G11" s="7" t="inlineStr">
        <is>
          <t>https://www.moneytimes.com.br/grupo-mateus-gmat3-ve-lucro-cair-218-no-1t26-para-r-2129-milhoes/</t>
        </is>
      </c>
      <c r="H11" s="7" t="inlineStr">
        <is>
          <t>Operational overlay and risk interpretation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Graficos para Relatorio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2026-05-31T17:36:30Z</dcterms:created>
  <dcterms:modified xsi:type="dcterms:W3CDTF">2026-05-31T19:05:21Z</dcterms:modified>
</cp:coreProperties>
</file>