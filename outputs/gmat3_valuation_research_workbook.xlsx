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45e269461d4e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c5c2eb672d0f44e6"/>
    <x:sheet xmlns:r="http://schemas.openxmlformats.org/officeDocument/2006/relationships" name="Peer Group" sheetId="2" r:id="R2fa96bb2bb664002"/>
    <x:sheet xmlns:r="http://schemas.openxmlformats.org/officeDocument/2006/relationships" name="Multiplos" sheetId="3" r:id="R7e36aede3cdd4ac8"/>
    <x:sheet xmlns:r="http://schemas.openxmlformats.org/officeDocument/2006/relationships" name="Valuation" sheetId="4" r:id="Rb5cca017415a4226"/>
    <x:sheet xmlns:r="http://schemas.openxmlformats.org/officeDocument/2006/relationships" name="Sensibilidade" sheetId="5" r:id="R11590f1bf1974ee8"/>
    <x:sheet xmlns:r="http://schemas.openxmlformats.org/officeDocument/2006/relationships" name="Graficos" sheetId="6" r:id="R63913ac880934d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R$0.00"/>
    <x:numFmt numFmtId="201" formatCode="0.0%"/>
    <x:numFmt numFmtId="202" formatCode="0.0x"/>
    <x:numFmt numFmtId="203" formatCode="R$#,##0"/>
    <x:numFmt numFmtId="204" formatCode="#,##0"/>
  </x:numFmts>
  <x:fonts count="11">
    <x:font>
      <x:sz val="11"/>
      <x:name val="Carlito"/>
    </x:font>
    <x:font>
      <x:b/>
      <x:sz val="16"/>
      <x:color rgb="FFFFFF"/>
      <x:name val="Carlito"/>
    </x:font>
    <x:font>
      <x:b/>
      <x:sz val="11"/>
      <x:color rgb="1F2937"/>
      <x:name val="Carlito"/>
    </x:font>
    <x:font>
      <x:b/>
      <x:sz val="11"/>
      <x:name val="Carlito"/>
    </x:font>
    <x:font>
      <x:b/>
      <x:sz val="11"/>
      <x:color rgb="0000FF"/>
      <x:name val="Carlito"/>
    </x:font>
    <x:font>
      <x:b/>
      <x:sz val="11"/>
      <x:color rgb="FFFFFF"/>
      <x:name val="Carlito"/>
    </x:font>
    <x:font>
      <x:b/>
      <x:sz val="10"/>
      <x:color rgb="FFFFFF"/>
      <x:name val="Arial"/>
    </x:font>
    <x:font>
      <x:sz val="10"/>
      <x:name val="Arial"/>
    </x:font>
    <x:font>
      <x:b/>
      <x:sz val="10"/>
      <x:color rgb="1F2937"/>
      <x:name val="Arial"/>
    </x:font>
    <x:font>
      <x:b/>
      <x:sz val="10"/>
      <x:name val="Arial"/>
    </x:font>
    <x:font>
      <x:b/>
      <x:sz val="10"/>
      <x:color rgb="0000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17365D"/>
      </x:patternFill>
    </x:fill>
    <x:fill>
      <x:patternFill patternType="solid">
        <x:fgColor rgb="F3F6F8"/>
      </x:patternFill>
    </x:fill>
    <x:fill>
      <x:patternFill patternType="solid">
        <x:fgColor rgb="D9EAF7"/>
      </x:patternFill>
    </x:fill>
    <x:fill>
      <x:patternFill patternType="solid">
        <x:fgColor rgb="1F4E79"/>
      </x:patternFill>
    </x:fill>
  </x:fills>
  <x:borders count="1">
    <x:border/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vertical="top" wrapText="1"/>
    </x:xf>
    <x:xf numFmtId="204" fontId="0" fillId="0" borderId="0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vertical="top" wrapText="1"/>
    </x:xf>
    <x:xf numFmtId="204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202" fontId="5" fillId="5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/>
    <x:xf numFmtId="200" fontId="10" fillId="0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1" fontId="10" fillId="0" borderId="0" xfId="0" applyNumberFormat="1" applyFont="1" applyFill="1" applyBorder="1"/>
    <x:xf numFmtId="202" fontId="10" fillId="0" borderId="0" xfId="0" applyNumberFormat="1" applyFont="1" applyFill="1" applyBorder="1"/>
    <x:xf numFmtId="203" fontId="10" fillId="0" borderId="0" xfId="0" applyNumberFormat="1" applyFont="1" applyFill="1" applyBorder="1"/>
    <x:xf numFmtId="202" fontId="7" fillId="0" borderId="0" xfId="0" applyNumberFormat="1" applyFont="1" applyFill="1" applyBorder="1"/>
    <x:xf numFmtId="203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vertical="top" wrapText="1"/>
    </x:xf>
    <x:xf numFmtId="203" fontId="7" fillId="0" borderId="0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200" fontId="7" fillId="0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wrapText="1"/>
    </x:xf>
    <x:xf numFmtId="202" fontId="6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1fdc4070b94cf4" /><Relationship Type="http://schemas.openxmlformats.org/officeDocument/2006/relationships/theme" Target="/xl/theme/theme1.xml" Id="R64fded3379434a1f" /><Relationship Type="http://schemas.openxmlformats.org/officeDocument/2006/relationships/sharedStrings" Target="/xl/sharedStrings.xml" Id="R09dffb11d002441e" /><Relationship Type="http://schemas.openxmlformats.org/officeDocument/2006/relationships/worksheet" Target="/xl/worksheets/sheet1.xml" Id="Rc5c2eb672d0f44e6" /><Relationship Type="http://schemas.openxmlformats.org/officeDocument/2006/relationships/worksheet" Target="/xl/worksheets/sheet2.xml" Id="R2fa96bb2bb664002" /><Relationship Type="http://schemas.openxmlformats.org/officeDocument/2006/relationships/worksheet" Target="/xl/worksheets/sheet3.xml" Id="R7e36aede3cdd4ac8" /><Relationship Type="http://schemas.openxmlformats.org/officeDocument/2006/relationships/worksheet" Target="/xl/worksheets/sheet4.xml" Id="Rb5cca017415a4226" /><Relationship Type="http://schemas.openxmlformats.org/officeDocument/2006/relationships/worksheet" Target="/xl/worksheets/sheet5.xml" Id="R11590f1bf1974ee8" /><Relationship Type="http://schemas.openxmlformats.org/officeDocument/2006/relationships/worksheet" Target="/xl/worksheets/sheet6.xml" Id="R63913ac880934d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135aa278c5348b7" /><Relationship Type="http://schemas.openxmlformats.org/officeDocument/2006/relationships/image" Target="/xl/media/image2.png" Id="R80d148a364c94410" /><Relationship Type="http://schemas.openxmlformats.org/officeDocument/2006/relationships/image" Target="/xl/media/image3.png" Id="Ra0447df420354922" /><Relationship Type="http://schemas.openxmlformats.org/officeDocument/2006/relationships/image" Target="/xl/media/image4.png" Id="R88f72164f0094ea5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4953000" cy="2857500"/>
    <xdr:pic>
      <xdr:nvPicPr>
        <xdr:cNvPr id="1" name="4e21d9a7-b75d-4c15-b472-7432d01afc9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35aa278c5348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5</xdr:row>
      <xdr:rowOff>0</xdr:rowOff>
    </xdr:from>
    <xdr:ext cx="4953000" cy="2857500"/>
    <xdr:pic>
      <xdr:nvPicPr>
        <xdr:cNvPr id="2" name="840cff66-e829-4ff1-871b-e9e7f53940b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d148a364c944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24</xdr:row>
      <xdr:rowOff>0</xdr:rowOff>
    </xdr:from>
    <xdr:ext cx="4953000" cy="2857500"/>
    <xdr:pic>
      <xdr:nvPicPr>
        <xdr:cNvPr id="3" name="bfcc1216-dce8-442a-a9cb-df77ffa7d72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447df4203549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24</xdr:row>
      <xdr:rowOff>0</xdr:rowOff>
    </xdr:from>
    <xdr:ext cx="4953000" cy="2857500"/>
    <xdr:pic>
      <xdr:nvPicPr>
        <xdr:cNvPr id="4" name="cedb2d73-57c6-4653-99c4-b7e7d411d1f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f72164f0094e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9451633fe9784f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020000457763672" hidden="0" customWidth="1"/>
    <x:col min="2" max="2" width="14.109999656677246" hidden="0" customWidth="1"/>
    <x:col min="3" max="3" width="14.109999656677246" hidden="0" customWidth="1"/>
    <x:col min="4" max="4" width="14.109999656677246" hidden="0" customWidth="1"/>
    <x:col min="5" max="5" width="12.880000114440918" hidden="0" customWidth="1"/>
    <x:col min="6" max="6" width="11.65999984741211" hidden="0" customWidth="1"/>
    <x:col min="7" max="7" width="9.199999809265137" hidden="0" customWidth="1"/>
    <x:col min="8" max="8" width="36.20000076293945" hidden="0" customWidth="1"/>
  </x:cols>
  <x:sheetData>
    <x:row r="1" ht="25.5" customHeight="1">
      <x:c r="A1" s="40" t="str">
        <x:v>GMAT3 | Valuation por Multiplos</x:v>
      </x:c>
      <x:c r="B1" s="40" t="str">
        <x:v>GMAT3 | Valuation por Multiplos</x:v>
      </x:c>
      <x:c r="C1" s="40" t="str">
        <x:v>GMAT3 | Valuation por Multiplos</x:v>
      </x:c>
      <x:c r="D1" s="40" t="str">
        <x:v>GMAT3 | Valuation por Multiplos</x:v>
      </x:c>
      <x:c r="E1" s="40" t="str">
        <x:v>GMAT3 | Valuation por Multiplos</x:v>
      </x:c>
      <x:c r="F1" s="40" t="str">
        <x:v>GMAT3 | Valuation por Multiplos</x:v>
      </x:c>
      <x:c r="G1" s="40" t="str">
        <x:v>GMAT3 | Valuation por Multiplos</x:v>
      </x:c>
      <x:c r="H1" s="40" t="str">
        <x:v>GMAT3 | Valuation por Multiplos</x:v>
      </x:c>
    </x:row>
    <x:row r="2">
      <x:c r="A2" s="41"/>
      <x:c r="B2" s="41"/>
      <x:c r="C2" s="41"/>
      <x:c r="D2" s="41"/>
      <x:c r="E2" s="41"/>
      <x:c r="F2" s="41"/>
      <x:c r="G2" s="41"/>
      <x:c r="H2" s="41"/>
    </x:row>
    <x:row r="3">
      <x:c r="A3" s="42" t="str">
        <x:v>Tese: GMAT3 deve ser avaliada por uma regua mais limpa que a mediana domestica contaminada por GPA. O caso base usa o peer set LatAm ex-distressed e indica upside moderado.</x:v>
      </x:c>
      <x:c r="B3" s="42" t="str">
        <x:v>Tese: GMAT3 deve ser avaliada por uma regua mais limpa que a mediana domestica contaminada por GPA. O caso base usa o peer set LatAm ex-distressed e indica upside moderado.</x:v>
      </x:c>
      <x:c r="C3" s="42" t="str">
        <x:v>Tese: GMAT3 deve ser avaliada por uma regua mais limpa que a mediana domestica contaminada por GPA. O caso base usa o peer set LatAm ex-distressed e indica upside moderado.</x:v>
      </x:c>
      <x:c r="D3" s="42" t="str">
        <x:v>Tese: GMAT3 deve ser avaliada por uma regua mais limpa que a mediana domestica contaminada por GPA. O caso base usa o peer set LatAm ex-distressed e indica upside moderado.</x:v>
      </x:c>
      <x:c r="E3" s="42" t="str">
        <x:v>Tese: GMAT3 deve ser avaliada por uma regua mais limpa que a mediana domestica contaminada por GPA. O caso base usa o peer set LatAm ex-distressed e indica upside moderado.</x:v>
      </x:c>
      <x:c r="F3" s="42" t="str">
        <x:v>Tese: GMAT3 deve ser avaliada por uma regua mais limpa que a mediana domestica contaminada por GPA. O caso base usa o peer set LatAm ex-distressed e indica upside moderado.</x:v>
      </x:c>
      <x:c r="G3" s="42" t="str">
        <x:v>Tese: GMAT3 deve ser avaliada por uma regua mais limpa que a mediana domestica contaminada por GPA. O caso base usa o peer set LatAm ex-distressed e indica upside moderado.</x:v>
      </x:c>
      <x:c r="H3" s="42" t="str">
        <x:v>Tese: GMAT3 deve ser avaliada por uma regua mais limpa que a mediana domestica contaminada por GPA. O caso base usa o peer set LatAm ex-distressed e indica upside moderado.</x:v>
      </x:c>
    </x:row>
    <x:row r="4">
      <x:c r="A4" s="41"/>
      <x:c r="B4" s="41"/>
      <x:c r="C4" s="41"/>
      <x:c r="D4" s="41"/>
      <x:c r="E4" s="41"/>
      <x:c r="F4" s="41"/>
      <x:c r="G4" s="41"/>
      <x:c r="H4" s="41"/>
    </x:row>
    <x:row r="5">
      <x:c r="A5" s="43" t="str">
        <x:v>Preco atual</x:v>
      </x:c>
      <x:c r="B5" s="44" t="n">
        <x:v>4.26</x:v>
      </x:c>
      <x:c r="C5" s="41"/>
      <x:c r="D5" s="45" t="str">
        <x:v>Leitura</x:v>
      </x:c>
      <x:c r="E5" s="45" t="str">
        <x:v>Conclusao</x:v>
      </x:c>
      <x:c r="F5" s="45" t="str">
        <x:v>Implicacao</x:v>
      </x:c>
      <x:c r="G5" s="45" t="str">
        <x:v>Risco</x:v>
      </x:c>
      <x:c r="H5" s="45" t="str">
        <x:v>Uso no slide</x:v>
      </x:c>
    </x:row>
    <x:row r="6">
      <x:c r="A6" s="43" t="str">
        <x:v>Preco justo - caso base</x:v>
      </x:c>
      <x:c r="B6" s="44" t="n">
        <x:v>4.826334854394739</x:v>
      </x:c>
      <x:c r="C6" s="41"/>
      <x:c r="D6" s="46" t="str">
        <x:v>Peer group</x:v>
      </x:c>
      <x:c r="E6" s="46" t="str">
        <x:v>Assai e o melhor par local; GPA deve ser tratado como turnaround.</x:v>
      </x:c>
      <x:c r="F6" s="46" t="str">
        <x:v>A mediana Brasil simples subestima a regua de valor.</x:v>
      </x:c>
      <x:c r="G6" s="46" t="str">
        <x:v>Poucos comparaveis locais.</x:v>
      </x:c>
      <x:c r="H6" s="46" t="str">
        <x:v>Mostrar quem entra e quem fica fora.</x:v>
      </x:c>
    </x:row>
    <x:row r="7">
      <x:c r="A7" s="43" t="str">
        <x:v>Upside / Downside</x:v>
      </x:c>
      <x:c r="B7" s="47" t="n">
        <x:v>0.1329424540832722</x:v>
      </x:c>
      <x:c r="C7" s="41"/>
      <x:c r="D7" s="46" t="str">
        <x:v>Spread</x:v>
      </x:c>
      <x:c r="E7" s="46" t="str">
        <x:v>GMAT3 negocia perto de Assai e abaixo da mediana LatAm ex-distressed.</x:v>
      </x:c>
      <x:c r="F7" s="46" t="str">
        <x:v>Upside existe, mas nao e agressivo.</x:v>
      </x:c>
      <x:c r="G7" s="46" t="str">
        <x:v>LatAm nao e comparavel perfeito.</x:v>
      </x:c>
      <x:c r="H7" s="46" t="str">
        <x:v>Usar grafico de multiplos.</x:v>
      </x:c>
    </x:row>
    <x:row r="8">
      <x:c r="A8" s="43" t="str">
        <x:v>Multiplo aplicado</x:v>
      </x:c>
      <x:c r="B8" s="48" t="n">
        <x:v>7.398</x:v>
      </x:c>
      <x:c r="C8" s="41"/>
      <x:c r="D8" s="46" t="str">
        <x:v>Tese</x:v>
      </x:c>
      <x:c r="E8" s="46" t="str">
        <x:v>Construtiva, baseada em execucao regional e maturacao de lojas.</x:v>
      </x:c>
      <x:c r="F8" s="46" t="str">
        <x:v>Preco justo base fica acima do preco de tela.</x:v>
      </x:c>
      <x:c r="G8" s="46" t="str">
        <x:v>Margem e expansao precisam entregar.</x:v>
      </x:c>
      <x:c r="H8" s="46" t="str">
        <x:v>Fechar com upside moderado.</x:v>
      </x:c>
    </x:row>
    <x:row r="9">
      <x:c r="A9" s="43" t="str">
        <x:v>EBITDA anualizado</x:v>
      </x:c>
      <x:c r="B9" s="49" t="n">
        <x:v>1600</x:v>
      </x:c>
      <x:c r="C9" s="41"/>
      <x:c r="D9" s="41"/>
      <x:c r="E9" s="41"/>
      <x:c r="F9" s="41"/>
      <x:c r="G9" s="41"/>
      <x:c r="H9" s="41"/>
    </x:row>
    <x:row r="10">
      <x:c r="A10" s="43" t="str">
        <x:v>Divida liquida</x:v>
      </x:c>
      <x:c r="B10" s="49" t="n">
        <x:v>736</x:v>
      </x:c>
      <x:c r="C10" s="41"/>
      <x:c r="D10" s="41"/>
      <x:c r="E10" s="41"/>
      <x:c r="F10" s="41"/>
      <x:c r="G10" s="41"/>
      <x:c r="H10" s="41"/>
    </x:row>
    <x:row r="11">
      <x:c r="A11" s="41"/>
      <x:c r="B11" s="41"/>
      <x:c r="C11" s="41"/>
      <x:c r="D11" s="41"/>
      <x:c r="E11" s="41"/>
      <x:c r="F11" s="41"/>
      <x:c r="G11" s="41"/>
      <x:c r="H11" s="41"/>
    </x:row>
    <x:row r="12">
      <x:c r="A12" s="41"/>
      <x:c r="B12" s="41"/>
      <x:c r="C12" s="41"/>
      <x:c r="D12" s="41"/>
      <x:c r="E12" s="41"/>
      <x:c r="F12" s="41"/>
      <x:c r="G12" s="41"/>
      <x:c r="H12" s="41"/>
    </x:row>
    <x:row r="13">
      <x:c r="A13" s="45" t="str">
        <x:v>Cenario</x:v>
      </x:c>
      <x:c r="B13" s="45" t="str">
        <x:v>Multiplo</x:v>
      </x:c>
      <x:c r="C13" s="45" t="str">
        <x:v>EV implicito</x:v>
      </x:c>
      <x:c r="D13" s="45" t="str">
        <x:v>Equity value</x:v>
      </x:c>
      <x:c r="E13" s="45" t="str">
        <x:v>Preco justo</x:v>
      </x:c>
      <x:c r="F13" s="45" t="str">
        <x:v>Upside</x:v>
      </x:c>
      <x:c r="G13" s="45" t="str">
        <x:v>Peers</x:v>
      </x:c>
      <x:c r="H13" s="45" t="str">
        <x:v>Comentario</x:v>
      </x:c>
    </x:row>
    <x:row r="14">
      <x:c r="A14" s="41" t="str">
        <x:v>Baixo / Brasil com GPA</x:v>
      </x:c>
      <x:c r="B14" s="50" t="n">
        <x:v>4.201130324401747</x:v>
      </x:c>
      <x:c r="C14" s="51" t="n">
        <x:v>6721.8085190427955</x:v>
      </x:c>
      <x:c r="D14" s="51" t="n">
        <x:v>5985.8085190427955</x:v>
      </x:c>
      <x:c r="E14" s="52" t="n">
        <x:v>2.602471559454201</x:v>
      </x:c>
      <x:c r="F14" s="53" t="n">
        <x:v>-0.3890911832267133</x:v>
      </x:c>
      <x:c r="G14" s="41" t="n">
        <x:v>2</x:v>
      </x:c>
      <x:c r="H14" s="54" t="str">
        <x:v>Cenario pressionado pelo multiplos de GPA.</x:v>
      </x:c>
    </x:row>
    <x:row r="15">
      <x:c r="A15" s="41" t="str">
        <x:v>Base / LatAm ex-distressed</x:v>
      </x:c>
      <x:c r="B15" s="50" t="n">
        <x:v>7.398</x:v>
      </x:c>
      <x:c r="C15" s="51" t="n">
        <x:v>11836.8</x:v>
      </x:c>
      <x:c r="D15" s="51" t="n">
        <x:v>11100.8</x:v>
      </x:c>
      <x:c r="E15" s="52" t="n">
        <x:v>4.826334854394739</x:v>
      </x:c>
      <x:c r="F15" s="53" t="n">
        <x:v>0.1329424540832722</x:v>
      </x:c>
      <x:c r="G15" s="41" t="n">
        <x:v>5</x:v>
      </x:c>
      <x:c r="H15" s="54" t="str">
        <x:v>Melhor equilibrio entre amostra e qualidade dos peers.</x:v>
      </x:c>
    </x:row>
    <x:row r="16">
      <x:c r="A16" s="41" t="str">
        <x:v>Alto / re-rating</x:v>
      </x:c>
      <x:c r="B16" s="50" t="n">
        <x:v>9.841</x:v>
      </x:c>
      <x:c r="C16" s="51" t="n">
        <x:v>15745.599999999999</x:v>
      </x:c>
      <x:c r="D16" s="51" t="n">
        <x:v>15009.599999999999</x:v>
      </x:c>
      <x:c r="E16" s="52" t="n">
        <x:v>6.525777928664894</x:v>
      </x:c>
      <x:c r="F16" s="53" t="n">
        <x:v>0.5318727532077216</x:v>
      </x:c>
      <x:c r="G16" s="41" t="n">
        <x:v>5</x:v>
      </x:c>
      <x:c r="H16" s="54" t="str">
        <x:v>Depende de execucao e melhor percepcao de qualidade.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5999984741211" hidden="0" customWidth="1"/>
    <x:col min="2" max="2" width="25.149999618530273" hidden="0" customWidth="1"/>
    <x:col min="3" max="3" width="10.430000305175781" hidden="0" customWidth="1"/>
    <x:col min="4" max="4" width="12.270000457763672" hidden="0" customWidth="1"/>
    <x:col min="5" max="5" width="7.980000019073486" hidden="0" customWidth="1"/>
    <x:col min="6" max="6" width="22.700000762939453" hidden="0" customWidth="1"/>
    <x:col min="7" max="7" width="20.25" hidden="0" customWidth="1"/>
    <x:col min="8" max="8" width="26.3799991607666" hidden="0" customWidth="1"/>
    <x:col min="9" max="9" width="11.65999984741211" hidden="0" customWidth="1"/>
    <x:col min="10" max="10" width="46.0099983215332" hidden="0" customWidth="1"/>
  </x:cols>
  <x:sheetData>
    <x:row r="1" ht="25.5" customHeight="1">
      <x:c r="A1" s="40" t="str">
        <x:v>Peer Group e Tratamento Analitico</x:v>
      </x:c>
      <x:c r="B1" s="40" t="str">
        <x:v>Peer Group e Tratamento Analitico</x:v>
      </x:c>
      <x:c r="C1" s="40" t="str">
        <x:v>Peer Group e Tratamento Analitico</x:v>
      </x:c>
      <x:c r="D1" s="40" t="str">
        <x:v>Peer Group e Tratamento Analitico</x:v>
      </x:c>
      <x:c r="E1" s="40" t="str">
        <x:v>Peer Group e Tratamento Analitico</x:v>
      </x:c>
      <x:c r="F1" s="40" t="str">
        <x:v>Peer Group e Tratamento Analitico</x:v>
      </x:c>
      <x:c r="G1" s="40" t="str">
        <x:v>Peer Group e Tratamento Analitico</x:v>
      </x:c>
      <x:c r="H1" s="40" t="str">
        <x:v>Peer Group e Tratamento Analitico</x:v>
      </x:c>
      <x:c r="I1" s="40" t="str">
        <x:v>Peer Group e Tratamento Analitico</x:v>
      </x:c>
      <x:c r="J1" s="40" t="str">
        <x:v>Peer Group e Tratamento Analitico</x:v>
      </x:c>
    </x:row>
    <x:row r="2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>
      <x:c r="A3" s="45" t="str">
        <x:v>Ticker</x:v>
      </x:c>
      <x:c r="B3" s="45" t="str">
        <x:v>Empresa</x:v>
      </x:c>
      <x:c r="C3" s="45" t="str">
        <x:v>Pais</x:v>
      </x:c>
      <x:c r="D3" s="45" t="str">
        <x:v>Bolsa</x:v>
      </x:c>
      <x:c r="E3" s="45" t="str">
        <x:v>Moeda</x:v>
      </x:c>
      <x:c r="F3" s="45" t="str">
        <x:v>Segmento</x:v>
      </x:c>
      <x:c r="G3" s="45" t="str">
        <x:v>Papel</x:v>
      </x:c>
      <x:c r="H3" s="45" t="str">
        <x:v>Qualidade</x:v>
      </x:c>
      <x:c r="I3" s="45" t="str">
        <x:v>Entra no calculo?</x:v>
      </x:c>
      <x:c r="J3" s="45" t="str">
        <x:v>Justificativa</x:v>
      </x:c>
    </x:row>
    <x:row r="4">
      <x:c r="A4" s="46" t="str">
        <x:v>GMAT3.SA</x:v>
      </x:c>
      <x:c r="B4" s="46" t="str">
        <x:v>Grupo Mateus</x:v>
      </x:c>
      <x:c r="C4" s="46" t="str">
        <x:v>Brazil</x:v>
      </x:c>
      <x:c r="D4" s="46" t="str">
        <x:v>B3</x:v>
      </x:c>
      <x:c r="E4" s="46" t="str">
        <x:v>BRL</x:v>
      </x:c>
      <x:c r="F4" s="46" t="str">
        <x:v>Food Retail and Cash &amp; Carry</x:v>
      </x:c>
      <x:c r="G4" s="46" t="str">
        <x:v>Target</x:v>
      </x:c>
      <x:c r="H4" s="46" t="str">
        <x:v>Target</x:v>
      </x:c>
      <x:c r="I4" s="46" t="str">
        <x:v>false</x:v>
      </x:c>
      <x:c r="J4" s="46" t="str">
        <x:v>Target company to be valued</x:v>
      </x:c>
    </x:row>
    <x:row r="5">
      <x:c r="A5" s="46" t="str">
        <x:v>ASAI3.SA</x:v>
      </x:c>
      <x:c r="B5" s="46" t="str">
        <x:v>Assai</x:v>
      </x:c>
      <x:c r="C5" s="46" t="str">
        <x:v>Brazil</x:v>
      </x:c>
      <x:c r="D5" s="46" t="str">
        <x:v>B3</x:v>
      </x:c>
      <x:c r="E5" s="46" t="str">
        <x:v>BRL</x:v>
      </x:c>
      <x:c r="F5" s="46" t="str">
        <x:v>Cash &amp; Carry</x:v>
      </x:c>
      <x:c r="G5" s="46" t="str">
        <x:v>Domestic Core Peer</x:v>
      </x:c>
      <x:c r="H5" s="46" t="str">
        <x:v>Core Peer</x:v>
      </x:c>
      <x:c r="I5" s="46" t="str">
        <x:v>true</x:v>
      </x:c>
      <x:c r="J5" s="46" t="str">
        <x:v>Closest listed Brazilian cash and carry comparable</x:v>
      </x:c>
    </x:row>
    <x:row r="6">
      <x:c r="A6" s="46" t="str">
        <x:v>PCAR3.SA</x:v>
      </x:c>
      <x:c r="B6" s="46" t="str">
        <x:v>GPA</x:v>
      </x:c>
      <x:c r="C6" s="46" t="str">
        <x:v>Brazil</x:v>
      </x:c>
      <x:c r="D6" s="46" t="str">
        <x:v>B3</x:v>
      </x:c>
      <x:c r="E6" s="46" t="str">
        <x:v>BRL</x:v>
      </x:c>
      <x:c r="F6" s="46" t="str">
        <x:v>Food Retail</x:v>
      </x:c>
      <x:c r="G6" s="46" t="str">
        <x:v>Domestic Distressed Peer</x:v>
      </x:c>
      <x:c r="H6" s="46" t="str">
        <x:v>Distressed / Turnaround Peer</x:v>
      </x:c>
      <x:c r="I6" s="46" t="str">
        <x:v>true</x:v>
      </x:c>
      <x:c r="J6" s="46" t="str">
        <x:v>Listed Brazilian food retail peer but distressed and should be scenario-tested</x:v>
      </x:c>
    </x:row>
    <x:row r="7">
      <x:c r="A7" s="46" t="str">
        <x:v>CRFB3.SA</x:v>
      </x:c>
      <x:c r="B7" s="46" t="str">
        <x:v>Carrefour Brasil / Atacadao</x:v>
      </x:c>
      <x:c r="C7" s="46" t="str">
        <x:v>Brazil</x:v>
      </x:c>
      <x:c r="D7" s="46" t="str">
        <x:v>B3 delisted</x:v>
      </x:c>
      <x:c r="E7" s="46" t="str">
        <x:v>BRL</x:v>
      </x:c>
      <x:c r="F7" s="46" t="str">
        <x:v>Food Retail and Cash &amp; Carry</x:v>
      </x:c>
      <x:c r="G7" s="46" t="str">
        <x:v>Domestic Operational Peer</x:v>
      </x:c>
      <x:c r="H7" s="46" t="str">
        <x:v>Delisted / Operational Reference</x:v>
      </x:c>
      <x:c r="I7" s="46" t="str">
        <x:v>false</x:v>
      </x:c>
      <x:c r="J7" s="46" t="str">
        <x:v>Operationally relevant but not a current trading comparable after delisting</x:v>
      </x:c>
    </x:row>
    <x:row r="8">
      <x:c r="A8" s="46" t="str">
        <x:v>WALMEX.MX</x:v>
      </x:c>
      <x:c r="B8" s="46" t="str">
        <x:v>Walmart de Mexico</x:v>
      </x:c>
      <x:c r="C8" s="46" t="str">
        <x:v>Mexico</x:v>
      </x:c>
      <x:c r="D8" s="46" t="str">
        <x:v>BMV</x:v>
      </x:c>
      <x:c r="E8" s="46" t="str">
        <x:v>MXN</x:v>
      </x:c>
      <x:c r="F8" s="46" t="str">
        <x:v>Food Retail and Clubs</x:v>
      </x:c>
      <x:c r="G8" s="46" t="str">
        <x:v>LatAm Peer</x:v>
      </x:c>
      <x:c r="H8" s="46" t="str">
        <x:v>High Quality LatAm Peer</x:v>
      </x:c>
      <x:c r="I8" s="46" t="str">
        <x:v>true</x:v>
      </x:c>
      <x:c r="J8" s="46" t="str">
        <x:v>Large LatAm food retail and club-store operator</x:v>
      </x:c>
    </x:row>
    <x:row r="9">
      <x:c r="A9" s="46" t="str">
        <x:v>CHDRAUIB.MX</x:v>
      </x:c>
      <x:c r="B9" s="46" t="str">
        <x:v>Grupo Comercial Chedraui</x:v>
      </x:c>
      <x:c r="C9" s="46" t="str">
        <x:v>Mexico</x:v>
      </x:c>
      <x:c r="D9" s="46" t="str">
        <x:v>BMV</x:v>
      </x:c>
      <x:c r="E9" s="46" t="str">
        <x:v>MXN</x:v>
      </x:c>
      <x:c r="F9" s="46" t="str">
        <x:v>Food Retail</x:v>
      </x:c>
      <x:c r="G9" s="46" t="str">
        <x:v>LatAm Peer</x:v>
      </x:c>
      <x:c r="H9" s="46" t="str">
        <x:v>LatAm Food Retail Peer</x:v>
      </x:c>
      <x:c r="I9" s="46" t="str">
        <x:v>true</x:v>
      </x:c>
      <x:c r="J9" s="46" t="str">
        <x:v>Mexican food retail operator with Mexico and US exposure</x:v>
      </x:c>
    </x:row>
    <x:row r="10">
      <x:c r="A10" s="46" t="str">
        <x:v>SORIANAB.MX</x:v>
      </x:c>
      <x:c r="B10" s="46" t="str">
        <x:v>Organizacion Soriana</x:v>
      </x:c>
      <x:c r="C10" s="46" t="str">
        <x:v>Mexico</x:v>
      </x:c>
      <x:c r="D10" s="46" t="str">
        <x:v>BMV</x:v>
      </x:c>
      <x:c r="E10" s="46" t="str">
        <x:v>MXN</x:v>
      </x:c>
      <x:c r="F10" s="46" t="str">
        <x:v>Food Retail</x:v>
      </x:c>
      <x:c r="G10" s="46" t="str">
        <x:v>LatAm Peer</x:v>
      </x:c>
      <x:c r="H10" s="46" t="str">
        <x:v>LatAm Food Retail Peer</x:v>
      </x:c>
      <x:c r="I10" s="46" t="str">
        <x:v>true</x:v>
      </x:c>
      <x:c r="J10" s="46" t="str">
        <x:v>Mexican supermarket and food retail operator</x:v>
      </x:c>
    </x:row>
    <x:row r="11">
      <x:c r="A11" s="46" t="str">
        <x:v>CENCOSUD.SN</x:v>
      </x:c>
      <x:c r="B11" s="46" t="str">
        <x:v>Cencosud</x:v>
      </x:c>
      <x:c r="C11" s="46" t="str">
        <x:v>Chile</x:v>
      </x:c>
      <x:c r="D11" s="46" t="str">
        <x:v>Santiago</x:v>
      </x:c>
      <x:c r="E11" s="46" t="str">
        <x:v>CLP</x:v>
      </x:c>
      <x:c r="F11" s="46" t="str">
        <x:v>Food Retail and Multi-format Retail</x:v>
      </x:c>
      <x:c r="G11" s="46" t="str">
        <x:v>LatAm Peer</x:v>
      </x:c>
      <x:c r="H11" s="46" t="str">
        <x:v>LatAm Multi-format Retail Peer</x:v>
      </x:c>
      <x:c r="I11" s="46" t="str">
        <x:v>true</x:v>
      </x:c>
      <x:c r="J11" s="46" t="str">
        <x:v>Large Chilean and regional retail operator with food retail exposure</x:v>
      </x:c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880000114440918" hidden="0" customWidth="1"/>
    <x:col min="2" max="2" width="26.3799991607666" hidden="0" customWidth="1"/>
    <x:col min="3" max="3" width="11.65999984741211" hidden="0" customWidth="1"/>
    <x:col min="4" max="4" width="27.610000610351562" hidden="0" customWidth="1"/>
    <x:col min="5" max="5" width="10.430000305175781" hidden="0" customWidth="1"/>
    <x:col min="6" max="6" width="10.430000305175781" hidden="0" customWidth="1"/>
    <x:col min="7" max="7" width="22.700000762939453" hidden="0" customWidth="1"/>
    <x:col min="8" max="8" width="43.560001373291016" hidden="0" customWidth="1"/>
  </x:cols>
  <x:sheetData>
    <x:row r="1" ht="25.5" customHeight="1">
      <x:c r="A1" s="40" t="str">
        <x:v>Multiplos de Mercado</x:v>
      </x:c>
      <x:c r="B1" s="40" t="str">
        <x:v>Multiplos de Mercado</x:v>
      </x:c>
      <x:c r="C1" s="40" t="str">
        <x:v>Multiplos de Mercado</x:v>
      </x:c>
      <x:c r="D1" s="40" t="str">
        <x:v>Multiplos de Mercado</x:v>
      </x:c>
      <x:c r="E1" s="40" t="str">
        <x:v>Multiplos de Mercado</x:v>
      </x:c>
      <x:c r="F1" s="40" t="str">
        <x:v>Multiplos de Mercado</x:v>
      </x:c>
      <x:c r="G1" s="40" t="str">
        <x:v>Multiplos de Mercado</x:v>
      </x:c>
      <x:c r="H1" s="40" t="str">
        <x:v>Multiplos de Mercado</x:v>
      </x:c>
    </x:row>
    <x:row r="2">
      <x:c r="A2" s="41"/>
      <x:c r="B2" s="41"/>
      <x:c r="C2" s="41"/>
      <x:c r="D2" s="41"/>
      <x:c r="E2" s="41"/>
      <x:c r="F2" s="41"/>
      <x:c r="G2" s="41"/>
      <x:c r="H2" s="41"/>
    </x:row>
    <x:row r="3">
      <x:c r="A3" s="45" t="str">
        <x:v>Ticker</x:v>
      </x:c>
      <x:c r="B3" s="45" t="str">
        <x:v>Empresa</x:v>
      </x:c>
      <x:c r="C3" s="45" t="str">
        <x:v>Pais</x:v>
      </x:c>
      <x:c r="D3" s="45" t="str">
        <x:v>Tipo</x:v>
      </x:c>
      <x:c r="E3" s="45" t="str">
        <x:v>EV/EBITDA</x:v>
      </x:c>
      <x:c r="F3" s="45" t="str">
        <x:v>Incluido?</x:v>
      </x:c>
      <x:c r="G3" s="45" t="str">
        <x:v>Fonte</x:v>
      </x:c>
      <x:c r="H3" s="45" t="str">
        <x:v>Leitura</x:v>
      </x:c>
    </x:row>
    <x:row r="4">
      <x:c r="A4" s="46" t="str">
        <x:v>PCAR3.SA</x:v>
      </x:c>
      <x:c r="B4" s="46" t="str">
        <x:v>GPA</x:v>
      </x:c>
      <x:c r="C4" s="46" t="str">
        <x:v>Brazil</x:v>
      </x:c>
      <x:c r="D4" s="46" t="str">
        <x:v>Distressed / Turnaround Peer</x:v>
      </x:c>
      <x:c r="E4" s="55" t="n">
        <x:v>2.2974641048034936</x:v>
      </x:c>
      <x:c r="F4" s="46" t="str">
        <x:v>True</x:v>
      </x:c>
      <x:c r="G4" s="46" t="str">
        <x:v>notebook_01_annualized_1q26</x:v>
      </x:c>
      <x:c r="H4" s="46" t="str">
        <x:v>Outlier de baixa; usar como stress, nao como benchmark principal.</x:v>
      </x:c>
    </x:row>
    <x:row r="5">
      <x:c r="A5" s="46" t="str">
        <x:v>ASAI3.SA</x:v>
      </x:c>
      <x:c r="B5" s="46" t="str">
        <x:v>Assai</x:v>
      </x:c>
      <x:c r="C5" s="46" t="str">
        <x:v>Brazil</x:v>
      </x:c>
      <x:c r="D5" s="46" t="str">
        <x:v>Core Peer</x:v>
      </x:c>
      <x:c r="E5" s="55" t="n">
        <x:v>6.104796544</x:v>
      </x:c>
      <x:c r="F5" s="46" t="str">
        <x:v>True</x:v>
      </x:c>
      <x:c r="G5" s="46" t="str">
        <x:v>notebook_01_annualized_1q26</x:v>
      </x:c>
      <x:c r="H5" s="46" t="str">
        <x:v>Peer usado como referencia de mercado.</x:v>
      </x:c>
    </x:row>
    <x:row r="6">
      <x:c r="A6" s="46" t="str">
        <x:v>GMAT3.SA</x:v>
      </x:c>
      <x:c r="B6" s="46" t="str">
        <x:v>Grupo Mateus</x:v>
      </x:c>
      <x:c r="C6" s="46" t="str">
        <x:v>Brazil</x:v>
      </x:c>
      <x:c r="D6" s="46" t="str">
        <x:v>Target</x:v>
      </x:c>
      <x:c r="E6" s="55" t="n">
        <x:v>6.5838771199999995</x:v>
      </x:c>
      <x:c r="F6" s="46" t="str">
        <x:v>False</x:v>
      </x:c>
      <x:c r="G6" s="46" t="str">
        <x:v>notebook_01_annualized_1q26</x:v>
      </x:c>
      <x:c r="H6" s="46" t="str">
        <x:v>Empresa-alvo; nao entra na mediana.</x:v>
      </x:c>
    </x:row>
    <x:row r="7">
      <x:c r="A7" s="46" t="str">
        <x:v>CHDRAUIB.MX</x:v>
      </x:c>
      <x:c r="B7" s="46" t="str">
        <x:v>Grupo Comercial Chedraui</x:v>
      </x:c>
      <x:c r="C7" s="46" t="str">
        <x:v>Mexico</x:v>
      </x:c>
      <x:c r="D7" s="46" t="str">
        <x:v>LatAm Food Retail Peer</x:v>
      </x:c>
      <x:c r="E7" s="55" t="n">
        <x:v>7.217</x:v>
      </x:c>
      <x:c r="F7" s="46" t="str">
        <x:v>True</x:v>
      </x:c>
      <x:c r="G7" s="46" t="str">
        <x:v>yfinance</x:v>
      </x:c>
      <x:c r="H7" s="46" t="str">
        <x:v>Peer usado como referencia de mercado.</x:v>
      </x:c>
    </x:row>
    <x:row r="8">
      <x:c r="A8" s="46" t="str">
        <x:v>SORIANAB.MX</x:v>
      </x:c>
      <x:c r="B8" s="46" t="str">
        <x:v>Organizacion Soriana</x:v>
      </x:c>
      <x:c r="C8" s="46" t="str">
        <x:v>Mexico</x:v>
      </x:c>
      <x:c r="D8" s="46" t="str">
        <x:v>LatAm Food Retail Peer</x:v>
      </x:c>
      <x:c r="E8" s="55" t="n">
        <x:v>7.398</x:v>
      </x:c>
      <x:c r="F8" s="46" t="str">
        <x:v>True</x:v>
      </x:c>
      <x:c r="G8" s="46" t="str">
        <x:v>yfinance</x:v>
      </x:c>
      <x:c r="H8" s="46" t="str">
        <x:v>Peer usado como referencia de mercado.</x:v>
      </x:c>
    </x:row>
    <x:row r="9">
      <x:c r="A9" s="46" t="str">
        <x:v>WALMEX.MX</x:v>
      </x:c>
      <x:c r="B9" s="46" t="str">
        <x:v>Walmart de Mexico</x:v>
      </x:c>
      <x:c r="C9" s="46" t="str">
        <x:v>Mexico</x:v>
      </x:c>
      <x:c r="D9" s="46" t="str">
        <x:v>High Quality LatAm Peer</x:v>
      </x:c>
      <x:c r="E9" s="55" t="n">
        <x:v>9.841</x:v>
      </x:c>
      <x:c r="F9" s="46" t="str">
        <x:v>True</x:v>
      </x:c>
      <x:c r="G9" s="46" t="str">
        <x:v>yfinance</x:v>
      </x:c>
      <x:c r="H9" s="46" t="str">
        <x:v>Peer usado como referencia de mercado.</x:v>
      </x:c>
    </x:row>
    <x:row r="10">
      <x:c r="A10" s="46" t="str">
        <x:v>CENCOSUD.SN</x:v>
      </x:c>
      <x:c r="B10" s="46" t="str">
        <x:v>Cencosud</x:v>
      </x:c>
      <x:c r="C10" s="46" t="str">
        <x:v>Chile</x:v>
      </x:c>
      <x:c r="D10" s="46" t="str">
        <x:v>LatAm Multi-format Retail Peer</x:v>
      </x:c>
      <x:c r="E10" s="55" t="n">
        <x:v>10.864</x:v>
      </x:c>
      <x:c r="F10" s="46" t="str">
        <x:v>True</x:v>
      </x:c>
      <x:c r="G10" s="46" t="str">
        <x:v>yfinance</x:v>
      </x:c>
      <x:c r="H10" s="46" t="str">
        <x:v>Peer usado como referencia de mercado.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829999923706055" hidden="0" customWidth="1"/>
    <x:col min="2" max="2" width="11.039999961853027" hidden="0" customWidth="1"/>
    <x:col min="3" max="3" width="12.880000114440918" hidden="0" customWidth="1"/>
    <x:col min="4" max="4" width="13.5" hidden="0" customWidth="1"/>
    <x:col min="5" max="5" width="13.5" hidden="0" customWidth="1"/>
    <x:col min="6" max="6" width="13.5" hidden="0" customWidth="1"/>
    <x:col min="7" max="7" width="14.720000267028809" hidden="0" customWidth="1"/>
    <x:col min="8" max="8" width="11.65999984741211" hidden="0" customWidth="1"/>
    <x:col min="9" max="9" width="11.65999984741211" hidden="0" customWidth="1"/>
    <x:col min="10" max="10" width="11.039999961853027" hidden="0" customWidth="1"/>
    <x:col min="11" max="11" width="47.2400016784668" hidden="0" customWidth="1"/>
  </x:cols>
  <x:sheetData>
    <x:row r="1" ht="25.5" customHeight="1">
      <x:c r="A1" s="40" t="str">
        <x:v>Valuation por Multiplos | Ponte EV para Equity</x:v>
      </x:c>
      <x:c r="B1" s="40" t="str">
        <x:v>Valuation por Multiplos | Ponte EV para Equity</x:v>
      </x:c>
      <x:c r="C1" s="40" t="str">
        <x:v>Valuation por Multiplos | Ponte EV para Equity</x:v>
      </x:c>
      <x:c r="D1" s="40" t="str">
        <x:v>Valuation por Multiplos | Ponte EV para Equity</x:v>
      </x:c>
      <x:c r="E1" s="40" t="str">
        <x:v>Valuation por Multiplos | Ponte EV para Equity</x:v>
      </x:c>
      <x:c r="F1" s="40" t="str">
        <x:v>Valuation por Multiplos | Ponte EV para Equity</x:v>
      </x:c>
      <x:c r="G1" s="40" t="str">
        <x:v>Valuation por Multiplos | Ponte EV para Equity</x:v>
      </x:c>
      <x:c r="H1" s="40" t="str">
        <x:v>Valuation por Multiplos | Ponte EV para Equity</x:v>
      </x:c>
      <x:c r="I1" s="40" t="str">
        <x:v>Valuation por Multiplos | Ponte EV para Equity</x:v>
      </x:c>
      <x:c r="J1" s="40" t="str">
        <x:v>Valuation por Multiplos | Ponte EV para Equity</x:v>
      </x:c>
      <x:c r="K1" s="40" t="str">
        <x:v>Valuation por Multiplos | Ponte EV para Equity</x:v>
      </x:c>
    </x:row>
    <x:row r="2">
      <x:c r="A2" s="41"/>
      <x:c r="B2" s="41"/>
      <x:c r="C2" s="41"/>
      <x:c r="D2" s="41"/>
      <x:c r="E2" s="41"/>
      <x:c r="F2" s="41"/>
      <x:c r="G2" s="41"/>
      <x:c r="H2" s="41"/>
      <x:c r="I2" s="41"/>
      <x:c r="J2" s="41"/>
      <x:c r="K2" s="41"/>
    </x:row>
    <x:row r="3">
      <x:c r="A3" s="45" t="str">
        <x:v>Cenario</x:v>
      </x:c>
      <x:c r="B3" s="45" t="str">
        <x:v>Multiplo</x:v>
      </x:c>
      <x:c r="C3" s="45" t="str">
        <x:v>EBITDA</x:v>
      </x:c>
      <x:c r="D3" s="45" t="str">
        <x:v>EV implicito</x:v>
      </x:c>
      <x:c r="E3" s="45" t="str">
        <x:v>Divida liquida</x:v>
      </x:c>
      <x:c r="F3" s="45" t="str">
        <x:v>Equity value</x:v>
      </x:c>
      <x:c r="G3" s="45" t="str">
        <x:v>Acoes</x:v>
      </x:c>
      <x:c r="H3" s="45" t="str">
        <x:v>Preco justo</x:v>
      </x:c>
      <x:c r="I3" s="45" t="str">
        <x:v>Preco atual</x:v>
      </x:c>
      <x:c r="J3" s="45" t="str">
        <x:v>Upside</x:v>
      </x:c>
      <x:c r="K3" s="45" t="str">
        <x:v>Metodologia</x:v>
      </x:c>
    </x:row>
    <x:row r="4">
      <x:c r="A4" s="46" t="str">
        <x:v>Conservative Case</x:v>
      </x:c>
      <x:c r="B4" s="55" t="n">
        <x:v>6.382847408</x:v>
      </x:c>
      <x:c r="C4" s="56" t="n">
        <x:v>1600</x:v>
      </x:c>
      <x:c r="D4" s="56" t="n">
        <x:f>B4*C4</x:f>
        <x:v>10212.5558528</x:v>
      </x:c>
      <x:c r="E4" s="56" t="n">
        <x:v>736</x:v>
      </x:c>
      <x:c r="F4" s="56" t="n">
        <x:f>D4-E4</x:f>
        <x:v>9476.5558528</x:v>
      </x:c>
      <x:c r="G4" s="57" t="n">
        <x:v>2300047621</x:v>
      </x:c>
      <x:c r="H4" s="58" t="n">
        <x:f>F4*1000000/G4</x:f>
        <x:v>4.120156368188518</x:v>
      </x:c>
      <x:c r="I4" s="58" t="n">
        <x:v>4.26</x:v>
      </x:c>
      <x:c r="J4" s="59" t="n">
        <x:f>H4/I4-1</x:f>
        <x:v>-0.03282714361771888</x:v>
      </x:c>
      <x:c r="K4" s="46" t="str">
        <x:v>25th percentile of full traded peer set, including GPA</x:v>
      </x:c>
    </x:row>
    <x:row r="5">
      <x:c r="A5" s="46" t="str">
        <x:v>Domestic Listed Median</x:v>
      </x:c>
      <x:c r="B5" s="55" t="n">
        <x:v>4.201130324401747</x:v>
      </x:c>
      <x:c r="C5" s="56" t="n">
        <x:v>1600</x:v>
      </x:c>
      <x:c r="D5" s="56" t="n">
        <x:f>B5*C5</x:f>
        <x:v>6721.8085190427955</x:v>
      </x:c>
      <x:c r="E5" s="56" t="n">
        <x:v>736</x:v>
      </x:c>
      <x:c r="F5" s="56" t="n">
        <x:f>D5-E5</x:f>
        <x:v>5985.8085190427955</x:v>
      </x:c>
      <x:c r="G5" s="57" t="n">
        <x:v>2300047621</x:v>
      </x:c>
      <x:c r="H5" s="58" t="n">
        <x:f>F5*1000000/G5</x:f>
        <x:v>2.602471559454201</x:v>
      </x:c>
      <x:c r="I5" s="58" t="n">
        <x:v>4.26</x:v>
      </x:c>
      <x:c r="J5" s="59" t="n">
        <x:f>H5/I5-1</x:f>
        <x:v>-0.3890911832267133</x:v>
      </x:c>
      <x:c r="K5" s="46" t="str">
        <x:v>Median of Brazilian listed peers, including distressed GPA</x:v>
      </x:c>
    </x:row>
    <x:row r="6">
      <x:c r="A6" s="46" t="str">
        <x:v>Domestic Core Case</x:v>
      </x:c>
      <x:c r="B6" s="55" t="n">
        <x:v>6.104796544</x:v>
      </x:c>
      <x:c r="C6" s="56" t="n">
        <x:v>1600</x:v>
      </x:c>
      <x:c r="D6" s="56" t="n">
        <x:f>B6*C6</x:f>
        <x:v>9767.6744704</x:v>
      </x:c>
      <x:c r="E6" s="56" t="n">
        <x:v>736</x:v>
      </x:c>
      <x:c r="F6" s="56" t="n">
        <x:f>D6-E6</x:f>
        <x:v>9031.6744704</x:v>
      </x:c>
      <x:c r="G6" s="57" t="n">
        <x:v>2300047621</x:v>
      </x:c>
      <x:c r="H6" s="58" t="n">
        <x:f>F6*1000000/G6</x:f>
        <x:v>3.9267336849631254</x:v>
      </x:c>
      <x:c r="I6" s="58" t="n">
        <x:v>4.26</x:v>
      </x:c>
      <x:c r="J6" s="59" t="n">
        <x:f>H6/I6-1</x:f>
        <x:v>-0.078231529351379</x:v>
      </x:c>
      <x:c r="K6" s="46" t="str">
        <x:v>Assai-only case as closest domestic listed comparable</x:v>
      </x:c>
    </x:row>
    <x:row r="7">
      <x:c r="A7" s="46" t="str">
        <x:v>Expanded LatAm ex-Distressed Median</x:v>
      </x:c>
      <x:c r="B7" s="55" t="n">
        <x:v>7.398</x:v>
      </x:c>
      <x:c r="C7" s="56" t="n">
        <x:v>1600</x:v>
      </x:c>
      <x:c r="D7" s="56" t="n">
        <x:f>B7*C7</x:f>
        <x:v>11836.8</x:v>
      </x:c>
      <x:c r="E7" s="56" t="n">
        <x:v>736</x:v>
      </x:c>
      <x:c r="F7" s="56" t="n">
        <x:f>D7-E7</x:f>
        <x:v>11100.8</x:v>
      </x:c>
      <x:c r="G7" s="57" t="n">
        <x:v>2300047621</x:v>
      </x:c>
      <x:c r="H7" s="58" t="n">
        <x:f>F7*1000000/G7</x:f>
        <x:v>4.826334854394739</x:v>
      </x:c>
      <x:c r="I7" s="58" t="n">
        <x:v>4.26</x:v>
      </x:c>
      <x:c r="J7" s="59" t="n">
        <x:f>H7/I7-1</x:f>
        <x:v>0.1329424540832722</x:v>
      </x:c>
      <x:c r="K7" s="46" t="str">
        <x:v>Median of traded peers excluding distressed GPA and delisted Carrefour Brasil</x:v>
      </x:c>
    </x:row>
    <x:row r="8">
      <x:c r="A8" s="46" t="str">
        <x:v>Expanded LatAm including GPA Median</x:v>
      </x:c>
      <x:c r="B8" s="55" t="n">
        <x:v>7.307499999999999</x:v>
      </x:c>
      <x:c r="C8" s="56" t="n">
        <x:v>1600</x:v>
      </x:c>
      <x:c r="D8" s="56" t="n">
        <x:f>B8*C8</x:f>
        <x:v>11691.999999999998</x:v>
      </x:c>
      <x:c r="E8" s="56" t="n">
        <x:v>736</x:v>
      </x:c>
      <x:c r="F8" s="56" t="n">
        <x:f>D8-E8</x:f>
        <x:v>10955.999999999998</x:v>
      </x:c>
      <x:c r="G8" s="57" t="n">
        <x:v>2300047621</x:v>
      </x:c>
      <x:c r="H8" s="58" t="n">
        <x:f>F8*1000000/G8</x:f>
        <x:v>4.763379636129716</x:v>
      </x:c>
      <x:c r="I8" s="58" t="n">
        <x:v>4.26</x:v>
      </x:c>
      <x:c r="J8" s="59" t="n">
        <x:f>H8/I8-1</x:f>
        <x:v>0.11816423383326669</x:v>
      </x:c>
      <x:c r="K8" s="46" t="str">
        <x:v>Median of all traded peers, including GPA</x:v>
      </x:c>
    </x:row>
    <x:row r="9">
      <x:c r="A9" s="46" t="str">
        <x:v>Upside Case</x:v>
      </x:c>
      <x:c r="B9" s="55" t="n">
        <x:v>9.841</x:v>
      </x:c>
      <x:c r="C9" s="56" t="n">
        <x:v>1600</x:v>
      </x:c>
      <x:c r="D9" s="56" t="n">
        <x:f>B9*C9</x:f>
        <x:v>15745.599999999999</x:v>
      </x:c>
      <x:c r="E9" s="56" t="n">
        <x:v>736</x:v>
      </x:c>
      <x:c r="F9" s="56" t="n">
        <x:f>D9-E9</x:f>
        <x:v>15009.599999999999</x:v>
      </x:c>
      <x:c r="G9" s="57" t="n">
        <x:v>2300047621</x:v>
      </x:c>
      <x:c r="H9" s="58" t="n">
        <x:f>F9*1000000/G9</x:f>
        <x:v>6.525777928664894</x:v>
      </x:c>
      <x:c r="I9" s="58" t="n">
        <x:v>4.26</x:v>
      </x:c>
      <x:c r="J9" s="59" t="n">
        <x:f>H9/I9-1</x:f>
        <x:v>0.5318727532077216</x:v>
      </x:c>
      <x:c r="K9" s="46" t="str">
        <x:v>Higher of GMAT3 current EV/EBITDA and ex-distressed peer 75th percentile</x:v>
      </x:c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25" hidden="0" customWidth="1"/>
    <x:col min="2" max="2" width="11.039999961853027" hidden="0" customWidth="1"/>
    <x:col min="3" max="3" width="11.039999961853027" hidden="0" customWidth="1"/>
    <x:col min="4" max="4" width="11.039999961853027" hidden="0" customWidth="1"/>
    <x:col min="5" max="5" width="11.039999961853027" hidden="0" customWidth="1"/>
    <x:col min="6" max="6" width="11.039999961853027" hidden="0" customWidth="1"/>
    <x:col min="7" max="7" width="11.039999961853027" hidden="0" customWidth="1"/>
    <x:col min="8" max="8" width="11.039999961853027" hidden="0" customWidth="1"/>
  </x:cols>
  <x:sheetData>
    <x:row r="1" ht="25.5" customHeight="1">
      <x:c r="A1" s="40" t="str">
        <x:v>Sensibilidade de Preco Justo</x:v>
      </x:c>
      <x:c r="B1" s="40" t="str">
        <x:v>Sensibilidade de Preco Justo</x:v>
      </x:c>
      <x:c r="C1" s="40" t="str">
        <x:v>Sensibilidade de Preco Justo</x:v>
      </x:c>
      <x:c r="D1" s="40" t="str">
        <x:v>Sensibilidade de Preco Justo</x:v>
      </x:c>
      <x:c r="E1" s="40" t="str">
        <x:v>Sensibilidade de Preco Justo</x:v>
      </x:c>
      <x:c r="F1" s="40" t="str">
        <x:v>Sensibilidade de Preco Justo</x:v>
      </x:c>
      <x:c r="G1" s="40" t="str">
        <x:v>Sensibilidade de Preco Justo</x:v>
      </x:c>
      <x:c r="H1" s="40" t="str">
        <x:v>Sensibilidade de Preco Justo</x:v>
      </x:c>
    </x:row>
    <x:row r="2">
      <x:c r="A2" s="41"/>
      <x:c r="B2" s="41"/>
      <x:c r="C2" s="41"/>
      <x:c r="D2" s="41"/>
      <x:c r="E2" s="41"/>
      <x:c r="F2" s="41"/>
      <x:c r="G2" s="41"/>
      <x:c r="H2" s="41"/>
    </x:row>
    <x:row r="3">
      <x:c r="A3" s="60" t="str">
        <x:v>Preco justo por acao em funcao de EBITDA anualizado e EV/EBITDA aplicado</x:v>
      </x:c>
      <x:c r="B3" s="60" t="str">
        <x:v>Preco justo por acao em funcao de EBITDA anualizado e EV/EBITDA aplicado</x:v>
      </x:c>
      <x:c r="C3" s="60" t="str">
        <x:v>Preco justo por acao em funcao de EBITDA anualizado e EV/EBITDA aplicado</x:v>
      </x:c>
      <x:c r="D3" s="60" t="str">
        <x:v>Preco justo por acao em funcao de EBITDA anualizado e EV/EBITDA aplicado</x:v>
      </x:c>
      <x:c r="E3" s="60" t="str">
        <x:v>Preco justo por acao em funcao de EBITDA anualizado e EV/EBITDA aplicado</x:v>
      </x:c>
      <x:c r="F3" s="60" t="str">
        <x:v>Preco justo por acao em funcao de EBITDA anualizado e EV/EBITDA aplicado</x:v>
      </x:c>
      <x:c r="G3" s="60" t="str">
        <x:v>Preco justo por acao em funcao de EBITDA anualizado e EV/EBITDA aplicado</x:v>
      </x:c>
      <x:c r="H3" s="60" t="str">
        <x:v>Preco justo por acao em funcao de EBITDA anualizado e EV/EBITDA aplicado</x:v>
      </x:c>
    </x:row>
    <x:row r="4">
      <x:c r="A4" s="41"/>
      <x:c r="B4" s="41"/>
      <x:c r="C4" s="41"/>
      <x:c r="D4" s="41"/>
      <x:c r="E4" s="41"/>
      <x:c r="F4" s="41"/>
      <x:c r="G4" s="41"/>
      <x:c r="H4" s="41"/>
    </x:row>
    <x:row r="5">
      <x:c r="A5" s="45" t="str">
        <x:v>EBITDA / Multiplo</x:v>
      </x:c>
      <x:c r="B5" s="61" t="n">
        <x:v>5.5</x:v>
      </x:c>
      <x:c r="C5" s="61" t="n">
        <x:v>6.5</x:v>
      </x:c>
      <x:c r="D5" s="61" t="n">
        <x:v>7</x:v>
      </x:c>
      <x:c r="E5" s="61" t="n">
        <x:v>7.5</x:v>
      </x:c>
      <x:c r="F5" s="61" t="n">
        <x:v>8</x:v>
      </x:c>
      <x:c r="G5" s="61" t="n">
        <x:v>9</x:v>
      </x:c>
      <x:c r="H5" s="61" t="n">
        <x:v>10</x:v>
      </x:c>
    </x:row>
    <x:row r="6">
      <x:c r="A6" s="51" t="n">
        <x:v>1400</x:v>
      </x:c>
      <x:c r="B6" s="52" t="n">
        <x:f>($A6*B$5-736)*1000000/2300047621</x:f>
        <x:v>3.02776339777358</x:v>
      </x:c>
      <x:c r="C6" s="52" t="n">
        <x:f>($A6*C$5-736)*1000000/2300047621</x:f>
        <x:v>3.6364464472972755</x:v>
      </x:c>
      <x:c r="D6" s="52" t="n">
        <x:f>($A6*D$5-736)*1000000/2300047621</x:f>
        <x:v>3.940787972059123</x:v>
      </x:c>
      <x:c r="E6" s="52" t="n">
        <x:f>($A6*E$5-736)*1000000/2300047621</x:f>
        <x:v>4.2451294968209705</x:v>
      </x:c>
      <x:c r="F6" s="52" t="n">
        <x:f>($A6*F$5-736)*1000000/2300047621</x:f>
        <x:v>4.549471021582818</x:v>
      </x:c>
      <x:c r="G6" s="52" t="n">
        <x:f>($A6*G$5-736)*1000000/2300047621</x:f>
        <x:v>5.158154071106513</x:v>
      </x:c>
      <x:c r="H6" s="52" t="n">
        <x:f>($A6*H$5-736)*1000000/2300047621</x:f>
        <x:v>5.766837120630208</x:v>
      </x:c>
    </x:row>
    <x:row r="7">
      <x:c r="A7" s="51" t="n">
        <x:v>1500</x:v>
      </x:c>
      <x:c r="B7" s="52" t="n">
        <x:f>($A7*B$5-736)*1000000/2300047621</x:f>
        <x:v>3.266888881515032</x:v>
      </x:c>
      <x:c r="C7" s="52" t="n">
        <x:f>($A7*C$5-736)*1000000/2300047621</x:f>
        <x:v>3.919049291718991</x:v>
      </x:c>
      <x:c r="D7" s="52" t="n">
        <x:f>($A7*D$5-736)*1000000/2300047621</x:f>
        <x:v>4.2451294968209705</x:v>
      </x:c>
      <x:c r="E7" s="52" t="n">
        <x:f>($A7*E$5-736)*1000000/2300047621</x:f>
        <x:v>4.57120970192295</x:v>
      </x:c>
      <x:c r="F7" s="52" t="n">
        <x:f>($A7*F$5-736)*1000000/2300047621</x:f>
        <x:v>4.89728990702493</x:v>
      </x:c>
      <x:c r="G7" s="52" t="n">
        <x:f>($A7*G$5-736)*1000000/2300047621</x:f>
        <x:v>5.549450317228889</x:v>
      </x:c>
      <x:c r="H7" s="52" t="n">
        <x:f>($A7*H$5-736)*1000000/2300047621</x:f>
        <x:v>6.201610727432847</x:v>
      </x:c>
    </x:row>
    <x:row r="8">
      <x:c r="A8" s="51" t="n">
        <x:v>1600</x:v>
      </x:c>
      <x:c r="B8" s="52" t="n">
        <x:f>($A8*B$5-736)*1000000/2300047621</x:f>
        <x:v>3.5060143652564837</x:v>
      </x:c>
      <x:c r="C8" s="52" t="n">
        <x:f>($A8*C$5-736)*1000000/2300047621</x:f>
        <x:v>4.201652136140707</x:v>
      </x:c>
      <x:c r="D8" s="52" t="n">
        <x:f>($A8*D$5-736)*1000000/2300047621</x:f>
        <x:v>4.549471021582818</x:v>
      </x:c>
      <x:c r="E8" s="52" t="n">
        <x:f>($A8*E$5-736)*1000000/2300047621</x:f>
        <x:v>4.89728990702493</x:v>
      </x:c>
      <x:c r="F8" s="52" t="n">
        <x:f>($A8*F$5-736)*1000000/2300047621</x:f>
        <x:v>5.2451087924670405</x:v>
      </x:c>
      <x:c r="G8" s="52" t="n">
        <x:f>($A8*G$5-736)*1000000/2300047621</x:f>
        <x:v>5.940746563351264</x:v>
      </x:c>
      <x:c r="H8" s="52" t="n">
        <x:f>($A8*H$5-736)*1000000/2300047621</x:f>
        <x:v>6.636384334235487</x:v>
      </x:c>
    </x:row>
    <x:row r="9">
      <x:c r="A9" s="51" t="n">
        <x:v>1700</x:v>
      </x:c>
      <x:c r="B9" s="52" t="n">
        <x:f>($A9*B$5-736)*1000000/2300047621</x:f>
        <x:v>3.745139848997935</x:v>
      </x:c>
      <x:c r="C9" s="52" t="n">
        <x:f>($A9*C$5-736)*1000000/2300047621</x:f>
        <x:v>4.484254980562422</x:v>
      </x:c>
      <x:c r="D9" s="52" t="n">
        <x:f>($A9*D$5-736)*1000000/2300047621</x:f>
        <x:v>4.853812546344665</x:v>
      </x:c>
      <x:c r="E9" s="52" t="n">
        <x:f>($A9*E$5-736)*1000000/2300047621</x:f>
        <x:v>5.223370112126909</x:v>
      </x:c>
      <x:c r="F9" s="52" t="n">
        <x:f>($A9*F$5-736)*1000000/2300047621</x:f>
        <x:v>5.592927677909152</x:v>
      </x:c>
      <x:c r="G9" s="52" t="n">
        <x:f>($A9*G$5-736)*1000000/2300047621</x:f>
        <x:v>6.332042809473639</x:v>
      </x:c>
      <x:c r="H9" s="52" t="n">
        <x:f>($A9*H$5-736)*1000000/2300047621</x:f>
        <x:v>7.071157941038126</x:v>
      </x:c>
    </x:row>
    <x:row r="10">
      <x:c r="A10" s="51" t="n">
        <x:v>1800</x:v>
      </x:c>
      <x:c r="B10" s="52" t="n">
        <x:f>($A10*B$5-736)*1000000/2300047621</x:f>
        <x:v>3.984265332739387</x:v>
      </x:c>
      <x:c r="C10" s="52" t="n">
        <x:f>($A10*C$5-736)*1000000/2300047621</x:f>
        <x:v>4.766857824984138</x:v>
      </x:c>
      <x:c r="D10" s="52" t="n">
        <x:f>($A10*D$5-736)*1000000/2300047621</x:f>
        <x:v>5.158154071106513</x:v>
      </x:c>
      <x:c r="E10" s="52" t="n">
        <x:f>($A10*E$5-736)*1000000/2300047621</x:f>
        <x:v>5.549450317228889</x:v>
      </x:c>
      <x:c r="F10" s="52" t="n">
        <x:f>($A10*F$5-736)*1000000/2300047621</x:f>
        <x:v>5.940746563351264</x:v>
      </x:c>
      <x:c r="G10" s="52" t="n">
        <x:f>($A10*G$5-736)*1000000/2300047621</x:f>
        <x:v>6.723339055596014</x:v>
      </x:c>
      <x:c r="H10" s="52" t="n">
        <x:f>($A10*H$5-736)*1000000/2300047621</x:f>
        <x:v>7.505931547840765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880000114440918" hidden="0" customWidth="1"/>
    <x:col min="2" max="2" width="12.880000114440918" hidden="0" customWidth="1"/>
    <x:col min="3" max="3" width="12.880000114440918" hidden="0" customWidth="1"/>
    <x:col min="4" max="4" width="12.880000114440918" hidden="0" customWidth="1"/>
    <x:col min="5" max="5" width="12.880000114440918" hidden="0" customWidth="1"/>
    <x:col min="6" max="6" width="12.880000114440918" hidden="0" customWidth="1"/>
    <x:col min="7" max="7" width="12.880000114440918" hidden="0" customWidth="1"/>
    <x:col min="8" max="8" width="12.880000114440918" hidden="0" customWidth="1"/>
    <x:col min="9" max="9" width="12.880000114440918" hidden="0" customWidth="1"/>
    <x:col min="10" max="10" width="12.880000114440918" hidden="0" customWidth="1"/>
  </x:cols>
  <x:sheetData>
    <x:row r="1" ht="25.5" customHeight="1">
      <x:c r="A1" s="40" t="str">
        <x:v>Graficos para Relatorio</x:v>
      </x:c>
      <x:c r="B1" s="40" t="str">
        <x:v>Graficos para Relatorio</x:v>
      </x:c>
      <x:c r="C1" s="40" t="str">
        <x:v>Graficos para Relatorio</x:v>
      </x:c>
      <x:c r="D1" s="40" t="str">
        <x:v>Graficos para Relatorio</x:v>
      </x:c>
      <x:c r="E1" s="40" t="str">
        <x:v>Graficos para Relatorio</x:v>
      </x:c>
      <x:c r="F1" s="40" t="str">
        <x:v>Graficos para Relatorio</x:v>
      </x:c>
      <x:c r="G1" s="40" t="str">
        <x:v>Graficos para Relatorio</x:v>
      </x:c>
      <x:c r="H1" s="40" t="str">
        <x:v>Graficos para Relatorio</x:v>
      </x:c>
      <x:c r="I1" s="40" t="str">
        <x:v>Graficos para Relatorio</x:v>
      </x:c>
      <x:c r="J1" s="40" t="str">
        <x:v>Graficos para Relatorio</x:v>
      </x:c>
    </x:row>
    <x:row r="2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>
      <x:c r="A3" s="60" t="str">
        <x:v>Os graficos abaixo resumem a historia do valuation: spread de multiplos, preco justo por cenario, upside/downside, football field e analise de outliers.</x:v>
      </x:c>
      <x:c r="B3" s="60" t="str">
        <x:v>Os graficos abaixo resumem a historia do valuation: spread de multiplos, preco justo por cenario, upside/downside, football field e analise de outliers.</x:v>
      </x:c>
      <x:c r="C3" s="60" t="str">
        <x:v>Os graficos abaixo resumem a historia do valuation: spread de multiplos, preco justo por cenario, upside/downside, football field e analise de outliers.</x:v>
      </x:c>
      <x:c r="D3" s="60" t="str">
        <x:v>Os graficos abaixo resumem a historia do valuation: spread de multiplos, preco justo por cenario, upside/downside, football field e analise de outliers.</x:v>
      </x:c>
      <x:c r="E3" s="60" t="str">
        <x:v>Os graficos abaixo resumem a historia do valuation: spread de multiplos, preco justo por cenario, upside/downside, football field e analise de outliers.</x:v>
      </x:c>
      <x:c r="F3" s="60" t="str">
        <x:v>Os graficos abaixo resumem a historia do valuation: spread de multiplos, preco justo por cenario, upside/downside, football field e analise de outliers.</x:v>
      </x:c>
      <x:c r="G3" s="60" t="str">
        <x:v>Os graficos abaixo resumem a historia do valuation: spread de multiplos, preco justo por cenario, upside/downside, football field e analise de outliers.</x:v>
      </x:c>
      <x:c r="H3" s="60" t="str">
        <x:v>Os graficos abaixo resumem a historia do valuation: spread de multiplos, preco justo por cenario, upside/downside, football field e analise de outliers.</x:v>
      </x:c>
      <x:c r="I3" s="60" t="str">
        <x:v>Os graficos abaixo resumem a historia do valuation: spread de multiplos, preco justo por cenario, upside/downside, football field e analise de outliers.</x:v>
      </x:c>
      <x:c r="J3" s="60" t="str">
        <x:v>Os graficos abaixo resumem a historia do valuation: spread de multiplos, preco justo por cenario, upside/downside, football field e analise de outliers.</x:v>
      </x:c>
    </x:row>
  </x:sheetData>
  <x:mergeCells>
    <x:mergeCell ref="A1:J1"/>
    <x:mergeCell ref="A3:J3"/>
  </x:mergeCells>
  <x:pageMargins left="0.7" right="0.7" top="0.75" bottom="0.75" header="0.3" footer="0.3"/>
  <x:drawing xmlns:r="http://schemas.openxmlformats.org/officeDocument/2006/relationships" r:id="R9451633fe9784f7b"/>
</x:worksheet>
</file>