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8a098418c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c6fb1fa0614601"/>
    <x:sheet xmlns:r="http://schemas.openxmlformats.org/officeDocument/2006/relationships" name="Assumptions" sheetId="2" r:id="R828948052a314806"/>
    <x:sheet xmlns:r="http://schemas.openxmlformats.org/officeDocument/2006/relationships" name="Peer Group" sheetId="3" r:id="R3fdbc6e4a8f747d0"/>
    <x:sheet xmlns:r="http://schemas.openxmlformats.org/officeDocument/2006/relationships" name="Multiples" sheetId="4" r:id="R41fa607ffddc4e98"/>
    <x:sheet xmlns:r="http://schemas.openxmlformats.org/officeDocument/2006/relationships" name="Valuation Bridge" sheetId="5" r:id="R48988f2ce13f4dc4"/>
    <x:sheet xmlns:r="http://schemas.openxmlformats.org/officeDocument/2006/relationships" name="Checks" sheetId="6" r:id="Rb245e4af331c437a"/>
    <x:sheet xmlns:r="http://schemas.openxmlformats.org/officeDocument/2006/relationships" name="Sources" sheetId="7" r:id="Rabb632976167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R$0.00"/>
    <x:numFmt numFmtId="201" formatCode="0.0%"/>
    <x:numFmt numFmtId="202" formatCode="0.0x"/>
    <x:numFmt numFmtId="203" formatCode="#,##0"/>
    <x:numFmt numFmtId="204" formatCode="R$#,##0"/>
    <x:numFmt numFmtId="205" formatCode="#,##0.00"/>
  </x:numFmts>
  <x:fonts count="12">
    <x:font>
      <x:sz val="11"/>
      <x:name val="Carlito"/>
    </x:font>
    <x:font>
      <x:b/>
      <x:sz val="16"/>
      <x:color rgb="FFFFFF"/>
      <x:name val="Carlito"/>
    </x:font>
    <x:font>
      <x:sz val="11"/>
      <x:color rgb="1F2937"/>
      <x:name val="Carlito"/>
    </x:font>
    <x:font>
      <x:b/>
      <x:sz val="11"/>
      <x:name val="Carlito"/>
    </x:font>
    <x:font>
      <x:b/>
      <x:sz val="11"/>
      <x:color rgb="0000FF"/>
      <x:name val="Carlito"/>
    </x:font>
    <x:font>
      <x:b/>
      <x:sz val="11"/>
      <x:color rgb="FFFFFF"/>
      <x:name val="Carlito"/>
    </x:font>
    <x:font>
      <x:b/>
      <x:sz val="10"/>
      <x:color rgb="FFFFFF"/>
      <x:name val="Arial"/>
    </x:font>
    <x:font>
      <x:sz val="10"/>
      <x:name val="Arial"/>
    </x:font>
    <x:font>
      <x:sz val="10"/>
      <x:color rgb="1F2937"/>
      <x:name val="Arial"/>
    </x:font>
    <x:font>
      <x:b/>
      <x:sz val="10"/>
      <x:name val="Arial"/>
    </x:font>
    <x:font>
      <x:b/>
      <x:sz val="10"/>
      <x:color rgb="0000FF"/>
      <x:name val="Arial"/>
    </x:font>
    <x:font>
      <x:b/>
      <x:sz val="16"/>
      <x:color rgb="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12355B"/>
      </x:patternFill>
    </x:fill>
    <x:fill>
      <x:patternFill patternType="solid">
        <x:fgColor rgb="F7F9FB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203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/>
    <x:xf numFmtId="200" fontId="10" fillId="5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201" fontId="10" fillId="5" borderId="0" xfId="0" applyNumberFormat="1" applyFont="1" applyFill="1" applyBorder="1"/>
    <x:xf numFmtId="202" fontId="10" fillId="5" borderId="0" xfId="0" applyNumberFormat="1" applyFont="1" applyFill="1" applyBorder="1"/>
    <x:xf numFmtId="203" fontId="10" fillId="5" borderId="0" xfId="0" applyNumberFormat="1" applyFont="1" applyFill="1" applyBorder="1"/>
    <x:xf numFmtId="202" fontId="7" fillId="0" borderId="0" xfId="0" applyNumberFormat="1" applyFont="1" applyFill="1" applyBorder="1"/>
    <x:xf numFmtId="204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3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vertical="top" wrapText="1"/>
    </x:xf>
    <x:xf numFmtId="204" fontId="7" fillId="0" borderId="0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a85a56fd948f3" /><Relationship Type="http://schemas.openxmlformats.org/officeDocument/2006/relationships/theme" Target="/xl/theme/theme1.xml" Id="R10989629d9414344" /><Relationship Type="http://schemas.openxmlformats.org/officeDocument/2006/relationships/sharedStrings" Target="/xl/sharedStrings.xml" Id="R0115c4aeefa144f5" /><Relationship Type="http://schemas.openxmlformats.org/officeDocument/2006/relationships/worksheet" Target="/xl/worksheets/sheet1.xml" Id="R1bc6fb1fa0614601" /><Relationship Type="http://schemas.openxmlformats.org/officeDocument/2006/relationships/worksheet" Target="/xl/worksheets/sheet2.xml" Id="R828948052a314806" /><Relationship Type="http://schemas.openxmlformats.org/officeDocument/2006/relationships/worksheet" Target="/xl/worksheets/sheet3.xml" Id="R3fdbc6e4a8f747d0" /><Relationship Type="http://schemas.openxmlformats.org/officeDocument/2006/relationships/worksheet" Target="/xl/worksheets/sheet4.xml" Id="R41fa607ffddc4e98" /><Relationship Type="http://schemas.openxmlformats.org/officeDocument/2006/relationships/worksheet" Target="/xl/worksheets/sheet5.xml" Id="R48988f2ce13f4dc4" /><Relationship Type="http://schemas.openxmlformats.org/officeDocument/2006/relationships/worksheet" Target="/xl/worksheets/sheet6.xml" Id="Rb245e4af331c437a" /><Relationship Type="http://schemas.openxmlformats.org/officeDocument/2006/relationships/worksheet" Target="/xl/worksheets/sheet7.xml" Id="Rabb63297616748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7.790000915527344" hidden="0" customWidth="1"/>
    <x:col min="3" max="3" width="16.559999465942383" hidden="0" customWidth="1"/>
    <x:col min="4" max="4" width="20.25" hidden="0" customWidth="1"/>
    <x:col min="5" max="5" width="17.790000915527344" hidden="0" customWidth="1"/>
    <x:col min="6" max="6" width="17.790000915527344" hidden="0" customWidth="1"/>
    <x:col min="7" max="7" width="12.880000114440918" hidden="0" customWidth="1"/>
    <x:col min="8" max="8" width="28.829999923706055" hidden="0" customWidth="1"/>
  </x:cols>
  <x:sheetData>
    <x:row r="1" ht="25.5" customHeight="1">
      <x:c r="A1" s="64" t="str">
        <x:v>GMAT3 Relative Valuation - Executive Summary</x:v>
      </x:c>
      <x:c r="B1" s="64" t="str">
        <x:v>GMAT3 Relative Valuation - Executive Summary</x:v>
      </x:c>
      <x:c r="C1" s="64" t="str">
        <x:v>GMAT3 Relative Valuation - Executive Summary</x:v>
      </x:c>
      <x:c r="D1" s="64" t="str">
        <x:v>GMAT3 Relative Valuation - Executive Summary</x:v>
      </x:c>
      <x:c r="E1" s="64" t="str">
        <x:v>GMAT3 Relative Valuation - Executive Summary</x:v>
      </x:c>
      <x:c r="F1" s="64" t="str">
        <x:v>GMAT3 Relative Valuation - Executive Summary</x:v>
      </x:c>
      <x:c r="G1" s="64" t="str">
        <x:v>GMAT3 Relative Valuation - Executive Summary</x:v>
      </x:c>
      <x:c r="H1" s="64" t="str">
        <x:v>GMAT3 Relative Valuation - Executive Summary</x:v>
      </x:c>
    </x:row>
    <x:row r="2">
      <x:c r="A2" s="41"/>
      <x:c r="B2" s="41"/>
      <x:c r="C2" s="41"/>
      <x:c r="D2" s="41"/>
      <x:c r="E2" s="41"/>
      <x:c r="F2" s="41"/>
      <x:c r="G2" s="41"/>
      <x:c r="H2" s="41"/>
    </x:row>
    <x:row r="3">
      <x:c r="A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B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C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D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E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F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G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  <x:c r="H3" s="42" t="str">
        <x:v>Proposed thesis: GMAT3 deserves to trade near the expanded LatAm ex-distressed food retail median, not at the distressed Brazil median. The upside exists, but it is not a screaming deep-value call because GMAT3 already trades close to Assai.</x:v>
      </x:c>
    </x:row>
    <x:row r="4">
      <x:c r="A4" s="41"/>
      <x:c r="B4" s="41"/>
      <x:c r="C4" s="41"/>
      <x:c r="D4" s="41"/>
      <x:c r="E4" s="41"/>
      <x:c r="F4" s="41"/>
      <x:c r="G4" s="41"/>
      <x:c r="H4" s="41"/>
    </x:row>
    <x:row r="5">
      <x:c r="A5" s="43" t="str">
        <x:v>Current Price</x:v>
      </x:c>
      <x:c r="B5" s="44" t="n">
        <x:v>4.26</x:v>
      </x:c>
      <x:c r="C5" s="41"/>
      <x:c r="D5" s="45" t="str">
        <x:v>What we defend</x:v>
      </x:c>
      <x:c r="E5" s="45" t="str">
        <x:v>Evidence</x:v>
      </x:c>
      <x:c r="F5" s="45" t="str">
        <x:v>Why it matters</x:v>
      </x:c>
      <x:c r="G5" s="45" t="str">
        <x:v>Risk</x:v>
      </x:c>
      <x:c r="H5" s="45" t="str">
        <x:v>Slide angle</x:v>
      </x:c>
    </x:row>
    <x:row r="6">
      <x:c r="A6" s="43" t="str">
        <x:v>Base Fair Price</x:v>
      </x:c>
      <x:c r="B6" s="44" t="n">
        <x:v>4.826334854394739</x:v>
      </x:c>
      <x:c r="C6" s="41"/>
      <x:c r="D6" s="46" t="str">
        <x:v>GMAT3 is not a distressed retailer.</x:v>
      </x:c>
      <x:c r="E6" s="46" t="str">
        <x:v>GPA trades at a structurally lower multiple.</x:v>
      </x:c>
      <x:c r="F6" s="46" t="str">
        <x:v>Including GPA mechanically depresses the sector median.</x:v>
      </x:c>
      <x:c r="G6" s="46" t="str">
        <x:v>If GMAT3 margins disappoint, the discount may be justified.</x:v>
      </x:c>
      <x:c r="H6" s="46" t="str">
        <x:v>Show GMAT3 vs. GPA spread as quality / distress adjustment.</x:v>
      </x:c>
    </x:row>
    <x:row r="7">
      <x:c r="A7" s="43" t="str">
        <x:v>Upside / Downside</x:v>
      </x:c>
      <x:c r="B7" s="47" t="n">
        <x:v>0.1329424540832722</x:v>
      </x:c>
      <x:c r="C7" s="41"/>
      <x:c r="D7" s="46" t="str">
        <x:v>Assai is the cleanest domestic benchmark.</x:v>
      </x:c>
      <x:c r="E7" s="46" t="str">
        <x:v>GMAT3 trades near Assai on EV/EBITDA.</x:v>
      </x:c>
      <x:c r="F7" s="46" t="str">
        <x:v>The market is not ignoring GMAT3, so upside must come from execution and peer set normalization.</x:v>
      </x:c>
      <x:c r="G7" s="46" t="str">
        <x:v>One-peer benchmark is fragile.</x:v>
      </x:c>
      <x:c r="H7" s="46" t="str">
        <x:v>Use Assai as anchor, not as the only answer.</x:v>
      </x:c>
    </x:row>
    <x:row r="8">
      <x:c r="A8" s="43" t="str">
        <x:v>Base Case Multiple</x:v>
      </x:c>
      <x:c r="B8" s="48" t="n">
        <x:v>7.398</x:v>
      </x:c>
      <x:c r="C8" s="41"/>
      <x:c r="D8" s="46" t="str">
        <x:v>LatAm peers support a higher normalized range.</x:v>
      </x:c>
      <x:c r="E8" s="46" t="str">
        <x:v>Ex-distressed LatAm median is above GMAT3 current multiple.</x:v>
      </x:c>
      <x:c r="F8" s="46" t="str">
        <x:v>Broader sample reduces dependence on GPA and Assai only.</x:v>
      </x:c>
      <x:c r="G8" s="46" t="str">
        <x:v>Country/business mix differences limit precision.</x:v>
      </x:c>
      <x:c r="H8" s="46" t="str">
        <x:v>Defend a range, not a magic number.</x:v>
      </x:c>
    </x:row>
    <x:row r="9">
      <x:c r="A9" s="43" t="str">
        <x:v>Target EBITDA Annualized (BRL mn)</x:v>
      </x:c>
      <x:c r="B9" s="49" t="n">
        <x:v>1600</x:v>
      </x:c>
      <x:c r="C9" s="41"/>
      <x:c r="D9" s="41"/>
      <x:c r="E9" s="41"/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>
      <x:c r="A11" s="41"/>
      <x:c r="B11" s="41"/>
      <x:c r="C11" s="41"/>
      <x:c r="D11" s="41"/>
      <x:c r="E11" s="41"/>
      <x:c r="F11" s="41"/>
      <x:c r="G11" s="41"/>
      <x:c r="H11" s="41"/>
    </x:row>
    <x:row r="12">
      <x:c r="A12" s="45" t="str">
        <x:v>Scenario</x:v>
      </x:c>
      <x:c r="B12" s="45" t="str">
        <x:v>Multiple</x:v>
      </x:c>
      <x:c r="C12" s="45" t="str">
        <x:v>Implied EV</x:v>
      </x:c>
      <x:c r="D12" s="45" t="str">
        <x:v>Equity Value</x:v>
      </x:c>
      <x:c r="E12" s="45" t="str">
        <x:v>Fair Price</x:v>
      </x:c>
      <x:c r="F12" s="45" t="str">
        <x:v>Upside / Downside</x:v>
      </x:c>
      <x:c r="G12" s="45" t="str">
        <x:v>Peer Count</x:v>
      </x:c>
      <x:c r="H12" s="45" t="str">
        <x:v>Interpretation</x:v>
      </x:c>
    </x:row>
    <x:row r="13">
      <x:c r="A13" s="41" t="str">
        <x:v>Bear / Distressed Brazil</x:v>
      </x:c>
      <x:c r="B13" s="50" t="n">
        <x:v>4.201130324401747</x:v>
      </x:c>
      <x:c r="C13" s="51" t="n">
        <x:v>6721.8085190427955</x:v>
      </x:c>
      <x:c r="D13" s="51" t="n">
        <x:v>5985.8085190427955</x:v>
      </x:c>
      <x:c r="E13" s="52" t="n">
        <x:v>2.602471559454201</x:v>
      </x:c>
      <x:c r="F13" s="53" t="n">
        <x:v>-0.3890911832267133</x:v>
      </x:c>
      <x:c r="G13" s="41" t="n">
        <x:v>2</x:v>
      </x:c>
      <x:c r="H13" s="54" t="str">
        <x:v>Includes GPA; useful as downside stress, not clean fair value.</x:v>
      </x:c>
    </x:row>
    <x:row r="14">
      <x:c r="A14" s="41" t="str">
        <x:v>Base / LatAm ex-Distressed</x:v>
      </x:c>
      <x:c r="B14" s="50" t="n">
        <x:v>7.398</x:v>
      </x:c>
      <x:c r="C14" s="51" t="n">
        <x:v>11836.8</x:v>
      </x:c>
      <x:c r="D14" s="51" t="n">
        <x:v>11100.8</x:v>
      </x:c>
      <x:c r="E14" s="52" t="n">
        <x:v>4.826334854394739</x:v>
      </x:c>
      <x:c r="F14" s="53" t="n">
        <x:v>0.1329424540832722</x:v>
      </x:c>
      <x:c r="G14" s="41" t="n">
        <x:v>5</x:v>
      </x:c>
      <x:c r="H14" s="54" t="str">
        <x:v>Best first-pass benchmark: broader, still food retail, excludes GPA distress.</x:v>
      </x:c>
    </x:row>
    <x:row r="15">
      <x:c r="A15" s="41" t="str">
        <x:v>Bull / Quality Re-rate</x:v>
      </x:c>
      <x:c r="B15" s="50" t="n">
        <x:v>9.841</x:v>
      </x:c>
      <x:c r="C15" s="51" t="n">
        <x:v>15745.599999999999</x:v>
      </x:c>
      <x:c r="D15" s="51" t="n">
        <x:v>15009.599999999999</x:v>
      </x:c>
      <x:c r="E15" s="52" t="n">
        <x:v>6.525777928664894</x:v>
      </x:c>
      <x:c r="F15" s="53" t="n">
        <x:v>0.5318727532077216</x:v>
      </x:c>
      <x:c r="G15" s="41" t="n">
        <x:v>5</x:v>
      </x:c>
      <x:c r="H15" s="54" t="str">
        <x:v>Requires better execution/growth evidence; not the base case.</x:v>
      </x:c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5" t="str">
        <x:v>3 operating arguments for the final slide</x:v>
      </x:c>
      <x:c r="B18" s="45" t="str">
        <x:v>3 operating arguments for the final slide</x:v>
      </x:c>
      <x:c r="C18" s="45" t="str">
        <x:v>3 operating arguments for the final slide</x:v>
      </x:c>
      <x:c r="D18" s="45" t="str">
        <x:v>3 operating arguments for the final slide</x:v>
      </x:c>
      <x:c r="E18" s="45" t="str">
        <x:v>3 operating arguments for the final slide</x:v>
      </x:c>
      <x:c r="F18" s="45" t="str">
        <x:v>3 operating arguments for the final slide</x:v>
      </x:c>
      <x:c r="G18" s="45" t="str">
        <x:v>3 operating arguments for the final slide</x:v>
      </x:c>
      <x:c r="H18" s="45" t="str">
        <x:v>3 operating arguments for the final slide</x:v>
      </x:c>
    </x:row>
    <x:row r="19">
      <x:c r="A19" s="46" t="str">
        <x:v>1</x:v>
      </x:c>
      <x:c r="B19" s="46" t="str">
        <x:v>Regional strength</x:v>
      </x:c>
      <x:c r="C19" s="46" t="str">
        <x:v>Grupo Mateus has a strong regional footprint and local execution advantage, especially in North/Northeast markets where logistics, supplier relationships and consumer knowledge matter.</x:v>
      </x:c>
      <x:c r="D19" s="46" t="str"/>
      <x:c r="E19" s="46" t="str"/>
      <x:c r="F19" s="46" t="str"/>
      <x:c r="G19" s="46" t="str"/>
      <x:c r="H19" s="46" t="str"/>
    </x:row>
    <x:row r="20">
      <x:c r="A20" s="46" t="str">
        <x:v>2</x:v>
      </x:c>
      <x:c r="B20" s="46" t="str">
        <x:v>Store maturation</x:v>
      </x:c>
      <x:c r="C20" s="46" t="str">
        <x:v>Growth can come not only from openings, but from maturation of recent stores and better operating leverage as units scale.</x:v>
      </x:c>
      <x:c r="D20" s="46" t="str"/>
      <x:c r="E20" s="46" t="str"/>
      <x:c r="F20" s="46" t="str"/>
      <x:c r="G20" s="46" t="str"/>
      <x:c r="H20" s="46" t="str"/>
    </x:row>
    <x:row r="21">
      <x:c r="A21" s="46" t="str">
        <x:v>3</x:v>
      </x:c>
      <x:c r="B21" s="46" t="str">
        <x:v>Cash-and-carry relevance</x:v>
      </x:c>
      <x:c r="C21" s="46" t="str">
        <x:v>Atacarejo remains structurally relevant for Brazilian consumers seeking value, supporting traffic and resilience in food retail.</x:v>
      </x:c>
      <x:c r="D21" s="46" t="str"/>
      <x:c r="E21" s="46" t="str"/>
      <x:c r="F21" s="46" t="str"/>
      <x:c r="G21" s="46" t="str"/>
      <x:c r="H21" s="46" t="str"/>
    </x:row>
  </x:sheetData>
  <x:mergeCells>
    <x:mergeCell ref="A1:H1"/>
    <x:mergeCell ref="A3:H3"/>
    <x:mergeCell ref="A18:H18"/>
    <x:mergeCell ref="B19:H19"/>
    <x:mergeCell ref="B20:H20"/>
    <x:mergeCell ref="B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21.469999313354492" hidden="0" customWidth="1"/>
    <x:col min="3" max="3" width="12.880000114440918" hidden="0" customWidth="1"/>
    <x:col min="4" max="4" width="22.700000762939453" hidden="0" customWidth="1"/>
    <x:col min="5" max="5" width="10.430000305175781" hidden="0" customWidth="1"/>
    <x:col min="6" max="6" width="41.099998474121094" hidden="0" customWidth="1"/>
  </x:cols>
  <x:sheetData>
    <x:row r="1" ht="25.5" customHeight="1">
      <x:c r="A1" s="40" t="str">
        <x:v>Model Assumptions</x:v>
      </x:c>
      <x:c r="B1" s="40" t="str">
        <x:v>Model Assumptions</x:v>
      </x:c>
      <x:c r="C1" s="40" t="str">
        <x:v>Model Assumptions</x:v>
      </x:c>
      <x:c r="D1" s="40" t="str">
        <x:v>Model Assumptions</x:v>
      </x:c>
      <x:c r="E1" s="40" t="str">
        <x:v>Model Assumptions</x:v>
      </x:c>
      <x:c r="F1" s="40" t="str">
        <x:v>Model Assumptions</x:v>
      </x:c>
    </x:row>
    <x:row r="2">
      <x:c r="A2" s="41"/>
      <x:c r="B2" s="41"/>
      <x:c r="C2" s="41"/>
      <x:c r="D2" s="41"/>
      <x:c r="E2" s="41"/>
      <x:c r="F2" s="41"/>
    </x:row>
    <x:row r="3">
      <x:c r="A3" s="45" t="str">
        <x:v>Item</x:v>
      </x:c>
      <x:c r="B3" s="45" t="str">
        <x:v>Value</x:v>
      </x:c>
      <x:c r="C3" s="45" t="str">
        <x:v>Units</x:v>
      </x:c>
      <x:c r="D3" s="45" t="str">
        <x:v>Source</x:v>
      </x:c>
      <x:c r="E3" s="45" t="str">
        <x:v>Editable?</x:v>
      </x:c>
      <x:c r="F3" s="45" t="str">
        <x:v>Notes</x:v>
      </x:c>
    </x:row>
    <x:row r="4">
      <x:c r="A4" s="54" t="str">
        <x:v>Target company</x:v>
      </x:c>
      <x:c r="B4" s="54" t="str">
        <x:v>GMAT3.SA</x:v>
      </x:c>
      <x:c r="C4" s="54" t="str">
        <x:v>Ticker</x:v>
      </x:c>
      <x:c r="D4" s="54" t="str">
        <x:v>Project scope</x:v>
      </x:c>
      <x:c r="E4" s="54" t="str">
        <x:v>No</x:v>
      </x:c>
      <x:c r="F4" s="54" t="str">
        <x:v>Grupo Mateus</x:v>
      </x:c>
    </x:row>
    <x:row r="5">
      <x:c r="A5" s="54" t="str">
        <x:v>Current price</x:v>
      </x:c>
      <x:c r="B5" s="55" t="n">
        <x:v>4.26</x:v>
      </x:c>
      <x:c r="C5" s="54" t="str">
        <x:v>BRL/share</x:v>
      </x:c>
      <x:c r="D5" s="54" t="str">
        <x:v>Notebook 01 / yfinance snapshot</x:v>
      </x:c>
      <x:c r="E5" s="54" t="str">
        <x:v>Yes</x:v>
      </x:c>
      <x:c r="F5" s="54" t="str">
        <x:v>Market price changes daily</x:v>
      </x:c>
    </x:row>
    <x:row r="6">
      <x:c r="A6" s="54" t="str">
        <x:v>Target net debt</x:v>
      </x:c>
      <x:c r="B6" s="56" t="n">
        <x:v>736</x:v>
      </x:c>
      <x:c r="C6" s="54" t="str">
        <x:v>BRL mn</x:v>
      </x:c>
      <x:c r="D6" s="54" t="str">
        <x:v>Notebook 01</x:v>
      </x:c>
      <x:c r="E6" s="54" t="str">
        <x:v>Yes</x:v>
      </x:c>
      <x:c r="F6" s="54" t="str">
        <x:v>Total debt minus cash</x:v>
      </x:c>
    </x:row>
    <x:row r="7">
      <x:c r="A7" s="54" t="str">
        <x:v>Shares outstanding</x:v>
      </x:c>
      <x:c r="B7" s="56" t="n">
        <x:v>2300047621</x:v>
      </x:c>
      <x:c r="C7" s="54" t="str">
        <x:v>Shares</x:v>
      </x:c>
      <x:c r="D7" s="54" t="str">
        <x:v>Notebook 01</x:v>
      </x:c>
      <x:c r="E7" s="54" t="str">
        <x:v>Yes</x:v>
      </x:c>
      <x:c r="F7" s="54" t="str">
        <x:v>Absolute share count</x:v>
      </x:c>
    </x:row>
    <x:row r="8">
      <x:c r="A8" s="54" t="str">
        <x:v>EBITDA basis</x:v>
      </x:c>
      <x:c r="B8" s="54" t="str">
        <x:v>1Q26 annualized</x:v>
      </x:c>
      <x:c r="C8" s="54" t="str">
        <x:v>Method</x:v>
      </x:c>
      <x:c r="D8" s="54" t="str">
        <x:v>Notebook 01</x:v>
      </x:c>
      <x:c r="E8" s="54" t="str">
        <x:v>Yes</x:v>
      </x:c>
      <x:c r="F8" s="54" t="str">
        <x:v>Temporary proxy until LTM EBITDA is built</x:v>
      </x:c>
    </x:row>
    <x:row r="9">
      <x:c r="A9" s="54" t="str">
        <x:v>Target EBITDA annualized</x:v>
      </x:c>
      <x:c r="B9" s="57" t="n">
        <x:v>1600</x:v>
      </x:c>
      <x:c r="C9" s="54" t="str">
        <x:v>BRL mn</x:v>
      </x:c>
      <x:c r="D9" s="54" t="str">
        <x:v>Notebook 01</x:v>
      </x:c>
      <x:c r="E9" s="54" t="str">
        <x:v>Yes</x:v>
      </x:c>
      <x:c r="F9" s="54" t="str">
        <x:v>1Q26 EBITDA x 4</x:v>
      </x:c>
    </x:row>
    <x:row r="10">
      <x:c r="A10" s="54" t="str">
        <x:v>Base multiple</x:v>
      </x:c>
      <x:c r="B10" s="57" t="n">
        <x:v>7.398</x:v>
      </x:c>
      <x:c r="C10" s="54" t="str">
        <x:v>EV/EBITDA</x:v>
      </x:c>
      <x:c r="D10" s="54" t="str">
        <x:v>Notebook 02</x:v>
      </x:c>
      <x:c r="E10" s="54" t="str">
        <x:v>Yes</x:v>
      </x:c>
      <x:c r="F10" s="54" t="str">
        <x:v>Expanded LatAm ex-distressed median</x:v>
      </x:c>
    </x:row>
    <x:row r="11">
      <x:c r="A11" s="54" t="str">
        <x:v>Base fair price</x:v>
      </x:c>
      <x:c r="B11" s="55" t="n">
        <x:v>4.826334854394739</x:v>
      </x:c>
      <x:c r="C11" s="54" t="str">
        <x:v>BRL/share</x:v>
      </x:c>
      <x:c r="D11" s="54" t="str">
        <x:v>Valuation Bridge</x:v>
      </x:c>
      <x:c r="E11" s="54" t="str">
        <x:v>Formula</x:v>
      </x:c>
      <x:c r="F11" s="54" t="str">
        <x:v>Scenario-derived fair value</x:v>
      </x:c>
    </x:row>
    <x:row r="12">
      <x:c r="A12" s="54" t="str">
        <x:v>Recommendation framing</x:v>
      </x:c>
      <x:c r="B12" s="54" t="str">
        <x:v>Constructive, not aggressive</x:v>
      </x:c>
      <x:c r="C12" s="54" t="str">
        <x:v>Text</x:v>
      </x:c>
      <x:c r="D12" s="54" t="str">
        <x:v>Analyst judgment</x:v>
      </x:c>
      <x:c r="E12" s="54" t="str">
        <x:v>Yes</x:v>
      </x:c>
      <x:c r="F12" s="54" t="str">
        <x:v>Range-based valuation, no final investment recommendation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25.149999618530273" hidden="0" customWidth="1"/>
    <x:col min="3" max="3" width="11.65999984741211" hidden="0" customWidth="1"/>
    <x:col min="4" max="4" width="11.65999984741211" hidden="0" customWidth="1"/>
    <x:col min="5" max="5" width="9.199999809265137" hidden="0" customWidth="1"/>
    <x:col min="6" max="6" width="22.700000762939453" hidden="0" customWidth="1"/>
    <x:col min="7" max="7" width="21.469999313354492" hidden="0" customWidth="1"/>
    <x:col min="8" max="8" width="26.3799991607666" hidden="0" customWidth="1"/>
    <x:col min="9" max="9" width="10.430000305175781" hidden="0" customWidth="1"/>
    <x:col min="10" max="10" width="50.91999816894531" hidden="0" customWidth="1"/>
  </x:cols>
  <x:sheetData>
    <x:row r="1" ht="25.5" customHeight="1">
      <x:c r="A1" s="40" t="str">
        <x:v>Checkpoint 1 - Peer Group</x:v>
      </x:c>
      <x:c r="B1" s="40" t="str">
        <x:v>Checkpoint 1 - Peer Group</x:v>
      </x:c>
      <x:c r="C1" s="40" t="str">
        <x:v>Checkpoint 1 - Peer Group</x:v>
      </x:c>
      <x:c r="D1" s="40" t="str">
        <x:v>Checkpoint 1 - Peer Group</x:v>
      </x:c>
      <x:c r="E1" s="40" t="str">
        <x:v>Checkpoint 1 - Peer Group</x:v>
      </x:c>
      <x:c r="F1" s="40" t="str">
        <x:v>Checkpoint 1 - Peer Group</x:v>
      </x:c>
      <x:c r="G1" s="40" t="str">
        <x:v>Checkpoint 1 - Peer Group</x:v>
      </x:c>
      <x:c r="H1" s="40" t="str">
        <x:v>Checkpoint 1 - Peer Group</x:v>
      </x:c>
      <x:c r="I1" s="40" t="str">
        <x:v>Checkpoint 1 - Peer Group</x:v>
      </x:c>
      <x:c r="J1" s="40" t="str">
        <x:v>Checkpoint 1 - Peer Group</x:v>
      </x:c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</x:row>
    <x:row r="3">
      <x:c r="A3" s="45" t="str">
        <x:v>Ticker</x:v>
      </x:c>
      <x:c r="B3" s="45" t="str">
        <x:v>Company</x:v>
      </x:c>
      <x:c r="C3" s="45" t="str">
        <x:v>Country</x:v>
      </x:c>
      <x:c r="D3" s="45" t="str">
        <x:v>Exchange</x:v>
      </x:c>
      <x:c r="E3" s="45" t="str">
        <x:v>Currency</x:v>
      </x:c>
      <x:c r="F3" s="45" t="str">
        <x:v>Subsector</x:v>
      </x:c>
      <x:c r="G3" s="45" t="str">
        <x:v>Role</x:v>
      </x:c>
      <x:c r="H3" s="45" t="str">
        <x:v>Quality</x:v>
      </x:c>
      <x:c r="I3" s="45" t="str">
        <x:v>Included?</x:v>
      </x:c>
      <x:c r="J3" s="45" t="str">
        <x:v>Rationale</x:v>
      </x:c>
    </x:row>
    <x:row r="4">
      <x:c r="A4" s="46" t="str">
        <x:v>GMAT3.SA</x:v>
      </x:c>
      <x:c r="B4" s="46" t="str">
        <x:v>Grupo Mateus</x:v>
      </x:c>
      <x:c r="C4" s="46" t="str">
        <x:v>Brazil</x:v>
      </x:c>
      <x:c r="D4" s="46" t="str">
        <x:v>B3</x:v>
      </x:c>
      <x:c r="E4" s="46" t="str">
        <x:v>BRL</x:v>
      </x:c>
      <x:c r="F4" s="46" t="str">
        <x:v>Food Retail and Cash &amp; Carry</x:v>
      </x:c>
      <x:c r="G4" s="46" t="str">
        <x:v>Target</x:v>
      </x:c>
      <x:c r="H4" s="46" t="str">
        <x:v>Target</x:v>
      </x:c>
      <x:c r="I4" s="46" t="str">
        <x:v>false</x:v>
      </x:c>
      <x:c r="J4" s="46" t="str">
        <x:v>Target company to be valued</x:v>
      </x:c>
    </x:row>
    <x:row r="5">
      <x:c r="A5" s="46" t="str">
        <x:v>ASAI3.SA</x:v>
      </x:c>
      <x:c r="B5" s="46" t="str">
        <x:v>Assai</x:v>
      </x:c>
      <x:c r="C5" s="46" t="str">
        <x:v>Brazil</x:v>
      </x:c>
      <x:c r="D5" s="46" t="str">
        <x:v>B3</x:v>
      </x:c>
      <x:c r="E5" s="46" t="str">
        <x:v>BRL</x:v>
      </x:c>
      <x:c r="F5" s="46" t="str">
        <x:v>Cash &amp; Carry</x:v>
      </x:c>
      <x:c r="G5" s="46" t="str">
        <x:v>Domestic Core Peer</x:v>
      </x:c>
      <x:c r="H5" s="46" t="str">
        <x:v>Core Peer</x:v>
      </x:c>
      <x:c r="I5" s="46" t="str">
        <x:v>true</x:v>
      </x:c>
      <x:c r="J5" s="46" t="str">
        <x:v>Closest listed Brazilian cash and carry comparable</x:v>
      </x:c>
    </x:row>
    <x:row r="6">
      <x:c r="A6" s="46" t="str">
        <x:v>PCAR3.SA</x:v>
      </x:c>
      <x:c r="B6" s="46" t="str">
        <x:v>GPA</x:v>
      </x:c>
      <x:c r="C6" s="46" t="str">
        <x:v>Brazil</x:v>
      </x:c>
      <x:c r="D6" s="46" t="str">
        <x:v>B3</x:v>
      </x:c>
      <x:c r="E6" s="46" t="str">
        <x:v>BRL</x:v>
      </x:c>
      <x:c r="F6" s="46" t="str">
        <x:v>Food Retail</x:v>
      </x:c>
      <x:c r="G6" s="46" t="str">
        <x:v>Domestic Distressed Peer</x:v>
      </x:c>
      <x:c r="H6" s="46" t="str">
        <x:v>Distressed / Turnaround Peer</x:v>
      </x:c>
      <x:c r="I6" s="46" t="str">
        <x:v>true</x:v>
      </x:c>
      <x:c r="J6" s="46" t="str">
        <x:v>Listed Brazilian food retail peer but distressed and should be scenario-tested</x:v>
      </x:c>
    </x:row>
    <x:row r="7">
      <x:c r="A7" s="46" t="str">
        <x:v>CRFB3.SA</x:v>
      </x:c>
      <x:c r="B7" s="46" t="str">
        <x:v>Carrefour Brasil / Atacadao</x:v>
      </x:c>
      <x:c r="C7" s="46" t="str">
        <x:v>Brazil</x:v>
      </x:c>
      <x:c r="D7" s="46" t="str">
        <x:v>B3 delisted</x:v>
      </x:c>
      <x:c r="E7" s="46" t="str">
        <x:v>BRL</x:v>
      </x:c>
      <x:c r="F7" s="46" t="str">
        <x:v>Food Retail and Cash &amp; Carry</x:v>
      </x:c>
      <x:c r="G7" s="46" t="str">
        <x:v>Domestic Operational Peer</x:v>
      </x:c>
      <x:c r="H7" s="46" t="str">
        <x:v>Delisted / Operational Reference</x:v>
      </x:c>
      <x:c r="I7" s="46" t="str">
        <x:v>false</x:v>
      </x:c>
      <x:c r="J7" s="46" t="str">
        <x:v>Operationally relevant but not a current trading comparable after delisting</x:v>
      </x:c>
    </x:row>
    <x:row r="8">
      <x:c r="A8" s="46" t="str">
        <x:v>WALMEX.MX</x:v>
      </x:c>
      <x:c r="B8" s="46" t="str">
        <x:v>Walmart de Mexico</x:v>
      </x:c>
      <x:c r="C8" s="46" t="str">
        <x:v>Mexico</x:v>
      </x:c>
      <x:c r="D8" s="46" t="str">
        <x:v>BMV</x:v>
      </x:c>
      <x:c r="E8" s="46" t="str">
        <x:v>MXN</x:v>
      </x:c>
      <x:c r="F8" s="46" t="str">
        <x:v>Food Retail and Clubs</x:v>
      </x:c>
      <x:c r="G8" s="46" t="str">
        <x:v>LatAm Peer</x:v>
      </x:c>
      <x:c r="H8" s="46" t="str">
        <x:v>High Quality LatAm Peer</x:v>
      </x:c>
      <x:c r="I8" s="46" t="str">
        <x:v>true</x:v>
      </x:c>
      <x:c r="J8" s="46" t="str">
        <x:v>Large LatAm food retail and club-store operator</x:v>
      </x:c>
    </x:row>
    <x:row r="9">
      <x:c r="A9" s="46" t="str">
        <x:v>CHDRAUIB.MX</x:v>
      </x:c>
      <x:c r="B9" s="46" t="str">
        <x:v>Grupo Comercial Chedraui</x:v>
      </x:c>
      <x:c r="C9" s="46" t="str">
        <x:v>Mexico</x:v>
      </x:c>
      <x:c r="D9" s="46" t="str">
        <x:v>BMV</x:v>
      </x:c>
      <x:c r="E9" s="46" t="str">
        <x:v>MXN</x:v>
      </x:c>
      <x:c r="F9" s="46" t="str">
        <x:v>Food Retail</x:v>
      </x:c>
      <x:c r="G9" s="46" t="str">
        <x:v>LatAm Peer</x:v>
      </x:c>
      <x:c r="H9" s="46" t="str">
        <x:v>LatAm Food Retail Peer</x:v>
      </x:c>
      <x:c r="I9" s="46" t="str">
        <x:v>true</x:v>
      </x:c>
      <x:c r="J9" s="46" t="str">
        <x:v>Mexican food retail operator with Mexico and US exposure</x:v>
      </x:c>
    </x:row>
    <x:row r="10">
      <x:c r="A10" s="46" t="str">
        <x:v>SORIANAB.MX</x:v>
      </x:c>
      <x:c r="B10" s="46" t="str">
        <x:v>Organizacion Soriana</x:v>
      </x:c>
      <x:c r="C10" s="46" t="str">
        <x:v>Mexico</x:v>
      </x:c>
      <x:c r="D10" s="46" t="str">
        <x:v>BMV</x:v>
      </x:c>
      <x:c r="E10" s="46" t="str">
        <x:v>MXN</x:v>
      </x:c>
      <x:c r="F10" s="46" t="str">
        <x:v>Food Retail</x:v>
      </x:c>
      <x:c r="G10" s="46" t="str">
        <x:v>LatAm Peer</x:v>
      </x:c>
      <x:c r="H10" s="46" t="str">
        <x:v>LatAm Food Retail Peer</x:v>
      </x:c>
      <x:c r="I10" s="46" t="str">
        <x:v>true</x:v>
      </x:c>
      <x:c r="J10" s="46" t="str">
        <x:v>Mexican supermarket and food retail operator</x:v>
      </x:c>
    </x:row>
    <x:row r="11">
      <x:c r="A11" s="46" t="str">
        <x:v>CENCOSUD.SN</x:v>
      </x:c>
      <x:c r="B11" s="46" t="str">
        <x:v>Cencosud</x:v>
      </x:c>
      <x:c r="C11" s="46" t="str">
        <x:v>Chile</x:v>
      </x:c>
      <x:c r="D11" s="46" t="str">
        <x:v>Santiago</x:v>
      </x:c>
      <x:c r="E11" s="46" t="str">
        <x:v>CLP</x:v>
      </x:c>
      <x:c r="F11" s="46" t="str">
        <x:v>Food Retail and Multi-format Retail</x:v>
      </x:c>
      <x:c r="G11" s="46" t="str">
        <x:v>LatAm Peer</x:v>
      </x:c>
      <x:c r="H11" s="46" t="str">
        <x:v>LatAm Multi-format Retail Peer</x:v>
      </x:c>
      <x:c r="I11" s="46" t="str">
        <x:v>true</x:v>
      </x:c>
      <x:c r="J11" s="46" t="str">
        <x:v>Large Chilean and regional retail operator with food retail exposure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25.149999618530273" hidden="0" customWidth="1"/>
    <x:col min="3" max="3" width="14.109999656677246" hidden="0" customWidth="1"/>
    <x:col min="4" max="4" width="27.610000610351562" hidden="0" customWidth="1"/>
    <x:col min="5" max="5" width="11.65999984741211" hidden="0" customWidth="1"/>
    <x:col min="6" max="6" width="11.65999984741211" hidden="0" customWidth="1"/>
    <x:col min="7" max="7" width="22.700000762939453" hidden="0" customWidth="1"/>
    <x:col min="8" max="8" width="31.290000915527344" hidden="0" customWidth="1"/>
  </x:cols>
  <x:sheetData>
    <x:row r="1" ht="25.5" customHeight="1">
      <x:c r="A1" s="40" t="str">
        <x:v>Checkpoint 2 and 3 - Normalized Base and Multiples</x:v>
      </x:c>
      <x:c r="B1" s="40" t="str">
        <x:v>Checkpoint 2 and 3 - Normalized Base and Multiples</x:v>
      </x:c>
      <x:c r="C1" s="40" t="str">
        <x:v>Checkpoint 2 and 3 - Normalized Base and Multiples</x:v>
      </x:c>
      <x:c r="D1" s="40" t="str">
        <x:v>Checkpoint 2 and 3 - Normalized Base and Multiples</x:v>
      </x:c>
      <x:c r="E1" s="40" t="str">
        <x:v>Checkpoint 2 and 3 - Normalized Base and Multiples</x:v>
      </x:c>
      <x:c r="F1" s="40" t="str">
        <x:v>Checkpoint 2 and 3 - Normalized Base and Multiples</x:v>
      </x:c>
      <x:c r="G1" s="40" t="str">
        <x:v>Checkpoint 2 and 3 - Normalized Base and Multiples</x:v>
      </x:c>
      <x:c r="H1" s="40" t="str">
        <x:v>Checkpoint 2 and 3 - Normalized Base and Multiples</x:v>
      </x:c>
    </x:row>
    <x:row r="2">
      <x:c r="A2" s="41"/>
      <x:c r="B2" s="41"/>
      <x:c r="C2" s="41"/>
      <x:c r="D2" s="41"/>
      <x:c r="E2" s="41"/>
      <x:c r="F2" s="41"/>
      <x:c r="G2" s="41"/>
      <x:c r="H2" s="41"/>
    </x:row>
    <x:row r="3">
      <x:c r="A3" s="45" t="str">
        <x:v>Ticker</x:v>
      </x:c>
      <x:c r="B3" s="45" t="str">
        <x:v>Company</x:v>
      </x:c>
      <x:c r="C3" s="45" t="str">
        <x:v>Country</x:v>
      </x:c>
      <x:c r="D3" s="45" t="str">
        <x:v>Quality</x:v>
      </x:c>
      <x:c r="E3" s="45" t="str">
        <x:v>EV/EBITDA</x:v>
      </x:c>
      <x:c r="F3" s="45" t="str">
        <x:v>Included?</x:v>
      </x:c>
      <x:c r="G3" s="45" t="str">
        <x:v>Source</x:v>
      </x:c>
      <x:c r="H3" s="45" t="str">
        <x:v>Notes</x:v>
      </x:c>
    </x:row>
    <x:row r="4">
      <x:c r="A4" s="54" t="str">
        <x:v>PCAR3.SA</x:v>
      </x:c>
      <x:c r="B4" s="54" t="str">
        <x:v>GPA</x:v>
      </x:c>
      <x:c r="C4" s="54" t="str">
        <x:v>Brazil</x:v>
      </x:c>
      <x:c r="D4" s="54" t="str">
        <x:v>Distressed / Turnaround Peer</x:v>
      </x:c>
      <x:c r="E4" s="57" t="n">
        <x:v>2.2974641048034936</x:v>
      </x:c>
      <x:c r="F4" s="54" t="str">
        <x:v>True</x:v>
      </x:c>
      <x:c r="G4" s="54" t="str">
        <x:v>notebook_01_annualized_1q26</x:v>
      </x:c>
      <x:c r="H4" s="54" t="str">
        <x:v>Treat as distressed/outlier reference.</x:v>
      </x:c>
    </x:row>
    <x:row r="5">
      <x:c r="A5" s="54" t="str">
        <x:v>ASAI3.SA</x:v>
      </x:c>
      <x:c r="B5" s="54" t="str">
        <x:v>Assai</x:v>
      </x:c>
      <x:c r="C5" s="54" t="str">
        <x:v>Brazil</x:v>
      </x:c>
      <x:c r="D5" s="54" t="str">
        <x:v>Core Peer</x:v>
      </x:c>
      <x:c r="E5" s="57" t="n">
        <x:v>6.104796544</x:v>
      </x:c>
      <x:c r="F5" s="54" t="str">
        <x:v>True</x:v>
      </x:c>
      <x:c r="G5" s="54" t="str">
        <x:v>notebook_01_annualized_1q26</x:v>
      </x:c>
      <x:c r="H5" s="54" t="str">
        <x:v>Trading comparable.</x:v>
      </x:c>
    </x:row>
    <x:row r="6">
      <x:c r="A6" s="54" t="str">
        <x:v>GMAT3.SA</x:v>
      </x:c>
      <x:c r="B6" s="54" t="str">
        <x:v>Grupo Mateus</x:v>
      </x:c>
      <x:c r="C6" s="54" t="str">
        <x:v>Brazil</x:v>
      </x:c>
      <x:c r="D6" s="54" t="str">
        <x:v>Target</x:v>
      </x:c>
      <x:c r="E6" s="57" t="n">
        <x:v>6.5838771199999995</x:v>
      </x:c>
      <x:c r="F6" s="54" t="str">
        <x:v>False</x:v>
      </x:c>
      <x:c r="G6" s="54" t="str">
        <x:v>notebook_01_annualized_1q26</x:v>
      </x:c>
      <x:c r="H6" s="54" t="str">
        <x:v>Target company, not included in peer median.</x:v>
      </x:c>
    </x:row>
    <x:row r="7">
      <x:c r="A7" s="54" t="str">
        <x:v>CHDRAUIB.MX</x:v>
      </x:c>
      <x:c r="B7" s="54" t="str">
        <x:v>Grupo Comercial Chedraui</x:v>
      </x:c>
      <x:c r="C7" s="54" t="str">
        <x:v>Mexico</x:v>
      </x:c>
      <x:c r="D7" s="54" t="str">
        <x:v>LatAm Food Retail Peer</x:v>
      </x:c>
      <x:c r="E7" s="57" t="n">
        <x:v>7.217</x:v>
      </x:c>
      <x:c r="F7" s="54" t="str">
        <x:v>True</x:v>
      </x:c>
      <x:c r="G7" s="54" t="str">
        <x:v>yfinance</x:v>
      </x:c>
      <x:c r="H7" s="54" t="str">
        <x:v>Trading comparable.</x:v>
      </x:c>
    </x:row>
    <x:row r="8">
      <x:c r="A8" s="54" t="str">
        <x:v>SORIANAB.MX</x:v>
      </x:c>
      <x:c r="B8" s="54" t="str">
        <x:v>Organizacion Soriana</x:v>
      </x:c>
      <x:c r="C8" s="54" t="str">
        <x:v>Mexico</x:v>
      </x:c>
      <x:c r="D8" s="54" t="str">
        <x:v>LatAm Food Retail Peer</x:v>
      </x:c>
      <x:c r="E8" s="57" t="n">
        <x:v>7.398</x:v>
      </x:c>
      <x:c r="F8" s="54" t="str">
        <x:v>True</x:v>
      </x:c>
      <x:c r="G8" s="54" t="str">
        <x:v>yfinance</x:v>
      </x:c>
      <x:c r="H8" s="54" t="str">
        <x:v>Trading comparable.</x:v>
      </x:c>
    </x:row>
    <x:row r="9">
      <x:c r="A9" s="54" t="str">
        <x:v>WALMEX.MX</x:v>
      </x:c>
      <x:c r="B9" s="54" t="str">
        <x:v>Walmart de Mexico</x:v>
      </x:c>
      <x:c r="C9" s="54" t="str">
        <x:v>Mexico</x:v>
      </x:c>
      <x:c r="D9" s="54" t="str">
        <x:v>High Quality LatAm Peer</x:v>
      </x:c>
      <x:c r="E9" s="57" t="n">
        <x:v>9.841</x:v>
      </x:c>
      <x:c r="F9" s="54" t="str">
        <x:v>True</x:v>
      </x:c>
      <x:c r="G9" s="54" t="str">
        <x:v>yfinance</x:v>
      </x:c>
      <x:c r="H9" s="54" t="str">
        <x:v>Trading comparable.</x:v>
      </x:c>
    </x:row>
    <x:row r="10">
      <x:c r="A10" s="54" t="str">
        <x:v>CENCOSUD.SN</x:v>
      </x:c>
      <x:c r="B10" s="54" t="str">
        <x:v>Cencosud</x:v>
      </x:c>
      <x:c r="C10" s="54" t="str">
        <x:v>Chile</x:v>
      </x:c>
      <x:c r="D10" s="54" t="str">
        <x:v>LatAm Multi-format Retail Peer</x:v>
      </x:c>
      <x:c r="E10" s="57" t="n">
        <x:v>10.864</x:v>
      </x:c>
      <x:c r="F10" s="54" t="str">
        <x:v>True</x:v>
      </x:c>
      <x:c r="G10" s="54" t="str">
        <x:v>yfinance</x:v>
      </x:c>
      <x:c r="H10" s="54" t="str">
        <x:v>Trading comparable.</x:v>
      </x:c>
    </x:row>
    <x:row r="11">
      <x:c r="A11" s="41"/>
      <x:c r="B11" s="41"/>
      <x:c r="C11" s="41"/>
      <x:c r="D11" s="41"/>
      <x:c r="E11" s="41"/>
      <x:c r="F11" s="41"/>
      <x:c r="G11" s="41"/>
      <x:c r="H11" s="41"/>
    </x:row>
    <x:row r="12">
      <x:c r="A12" s="41"/>
      <x:c r="B12" s="41"/>
      <x:c r="C12" s="41"/>
      <x:c r="D12" s="41"/>
      <x:c r="E12" s="41"/>
      <x:c r="F12" s="41"/>
      <x:c r="G12" s="41"/>
      <x:c r="H12" s="41"/>
    </x:row>
    <x:row r="13">
      <x:c r="A13" s="45" t="str">
        <x:v>Peer Set</x:v>
      </x:c>
      <x:c r="B13" s="45" t="str">
        <x:v>Count</x:v>
      </x:c>
      <x:c r="C13" s="45" t="str">
        <x:v>Mean</x:v>
      </x:c>
      <x:c r="D13" s="45" t="str">
        <x:v>Median</x:v>
      </x:c>
      <x:c r="E13" s="45" t="str">
        <x:v>P25</x:v>
      </x:c>
      <x:c r="F13" s="45" t="str">
        <x:v>P75</x:v>
      </x:c>
      <x:c r="G13" s="45" t="str">
        <x:v>Min</x:v>
      </x:c>
      <x:c r="H13" s="45" t="str">
        <x:v>Max</x:v>
      </x:c>
    </x:row>
    <x:row r="14">
      <x:c r="A14" s="41" t="str">
        <x:v>Full Trading Peer Set</x:v>
      </x:c>
      <x:c r="B14" s="41" t="n">
        <x:v>6</x:v>
      </x:c>
      <x:c r="C14" s="50" t="n">
        <x:v>7.28704344146725</x:v>
      </x:c>
      <x:c r="D14" s="50" t="n">
        <x:v>7.307499999999999</x:v>
      </x:c>
      <x:c r="E14" s="50" t="n">
        <x:v>6.382847408</x:v>
      </x:c>
      <x:c r="F14" s="50" t="n">
        <x:v>9.23025</x:v>
      </x:c>
      <x:c r="G14" s="50" t="n">
        <x:v>2.2974641048034936</x:v>
      </x:c>
      <x:c r="H14" s="50" t="n">
        <x:v>10.864</x:v>
      </x:c>
    </x:row>
    <x:row r="15">
      <x:c r="A15" s="41" t="str">
        <x:v>Ex-Distressed Trading Peer Set</x:v>
      </x:c>
      <x:c r="B15" s="41" t="n">
        <x:v>5</x:v>
      </x:c>
      <x:c r="C15" s="50" t="n">
        <x:v>8.284959308800001</x:v>
      </x:c>
      <x:c r="D15" s="50" t="n">
        <x:v>7.398</x:v>
      </x:c>
      <x:c r="E15" s="50" t="n">
        <x:v>7.217</x:v>
      </x:c>
      <x:c r="F15" s="50" t="n">
        <x:v>9.841</x:v>
      </x:c>
      <x:c r="G15" s="50" t="n">
        <x:v>6.104796544</x:v>
      </x:c>
      <x:c r="H15" s="50" t="n">
        <x:v>10.864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610000610351562" hidden="0" customWidth="1"/>
    <x:col min="2" max="2" width="12.880000114440918" hidden="0" customWidth="1"/>
    <x:col min="3" max="3" width="14.109999656677246" hidden="0" customWidth="1"/>
    <x:col min="4" max="4" width="14.109999656677246" hidden="0" customWidth="1"/>
    <x:col min="5" max="5" width="12.880000114440918" hidden="0" customWidth="1"/>
    <x:col min="6" max="6" width="14.109999656677246" hidden="0" customWidth="1"/>
    <x:col min="7" max="7" width="15.34000015258789" hidden="0" customWidth="1"/>
    <x:col min="8" max="8" width="11.65999984741211" hidden="0" customWidth="1"/>
    <x:col min="9" max="9" width="11.65999984741211" hidden="0" customWidth="1"/>
    <x:col min="10" max="10" width="15.34000015258789" hidden="0" customWidth="1"/>
    <x:col min="11" max="11" width="52.150001525878906" hidden="0" customWidth="1"/>
  </x:cols>
  <x:sheetData>
    <x:row r="1" ht="25.5" customHeight="1">
      <x:c r="A1" s="40" t="str">
        <x:v>Checkpoint 4 - EV to Equity Bridge</x:v>
      </x:c>
      <x:c r="B1" s="40" t="str">
        <x:v>Checkpoint 4 - EV to Equity Bridge</x:v>
      </x:c>
      <x:c r="C1" s="40" t="str">
        <x:v>Checkpoint 4 - EV to Equity Bridge</x:v>
      </x:c>
      <x:c r="D1" s="40" t="str">
        <x:v>Checkpoint 4 - EV to Equity Bridge</x:v>
      </x:c>
      <x:c r="E1" s="40" t="str">
        <x:v>Checkpoint 4 - EV to Equity Bridge</x:v>
      </x:c>
      <x:c r="F1" s="40" t="str">
        <x:v>Checkpoint 4 - EV to Equity Bridge</x:v>
      </x:c>
      <x:c r="G1" s="40" t="str">
        <x:v>Checkpoint 4 - EV to Equity Bridge</x:v>
      </x:c>
      <x:c r="H1" s="40" t="str">
        <x:v>Checkpoint 4 - EV to Equity Bridge</x:v>
      </x:c>
      <x:c r="I1" s="40" t="str">
        <x:v>Checkpoint 4 - EV to Equity Bridge</x:v>
      </x:c>
      <x:c r="J1" s="40" t="str">
        <x:v>Checkpoint 4 - EV to Equity Bridge</x:v>
      </x:c>
      <x:c r="K1" s="40" t="str">
        <x:v>Checkpoint 4 - EV to Equity Bridge</x:v>
      </x:c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</x:row>
    <x:row r="3">
      <x:c r="A3" s="45" t="str">
        <x:v>Scenario</x:v>
      </x:c>
      <x:c r="B3" s="45" t="str">
        <x:v>Applied Multiple</x:v>
      </x:c>
      <x:c r="C3" s="45" t="str">
        <x:v>Target EBITDA</x:v>
      </x:c>
      <x:c r="D3" s="45" t="str">
        <x:v>Implied EV</x:v>
      </x:c>
      <x:c r="E3" s="45" t="str">
        <x:v>Net Debt</x:v>
      </x:c>
      <x:c r="F3" s="45" t="str">
        <x:v>Equity Value</x:v>
      </x:c>
      <x:c r="G3" s="45" t="str">
        <x:v>Shares</x:v>
      </x:c>
      <x:c r="H3" s="45" t="str">
        <x:v>Fair Price</x:v>
      </x:c>
      <x:c r="I3" s="45" t="str">
        <x:v>Current Price</x:v>
      </x:c>
      <x:c r="J3" s="45" t="str">
        <x:v>Upside / Downside</x:v>
      </x:c>
      <x:c r="K3" s="45" t="str">
        <x:v>Methodology</x:v>
      </x:c>
    </x:row>
    <x:row r="4">
      <x:c r="A4" s="46" t="str">
        <x:v>Conservative Case</x:v>
      </x:c>
      <x:c r="B4" s="58" t="n">
        <x:v>6.382847408</x:v>
      </x:c>
      <x:c r="C4" s="59" t="n">
        <x:v>1600</x:v>
      </x:c>
      <x:c r="D4" s="59" t="n">
        <x:f>B4*C4</x:f>
        <x:v>10212.5558528</x:v>
      </x:c>
      <x:c r="E4" s="59" t="n">
        <x:v>736</x:v>
      </x:c>
      <x:c r="F4" s="59" t="n">
        <x:f>D4-E4</x:f>
        <x:v>9476.5558528</x:v>
      </x:c>
      <x:c r="G4" s="60" t="n">
        <x:v>2300047621</x:v>
      </x:c>
      <x:c r="H4" s="61" t="n">
        <x:f>F4*1000000/G4</x:f>
        <x:v>4.120156368188518</x:v>
      </x:c>
      <x:c r="I4" s="61" t="n">
        <x:v>4.26</x:v>
      </x:c>
      <x:c r="J4" s="62" t="n">
        <x:f>H4/I4-1</x:f>
        <x:v>-0.03282714361771888</x:v>
      </x:c>
      <x:c r="K4" s="46" t="str">
        <x:v>25th percentile of full traded peer set, including GPA</x:v>
      </x:c>
    </x:row>
    <x:row r="5">
      <x:c r="A5" s="46" t="str">
        <x:v>Domestic Listed Median</x:v>
      </x:c>
      <x:c r="B5" s="58" t="n">
        <x:v>4.201130324401747</x:v>
      </x:c>
      <x:c r="C5" s="59" t="n">
        <x:v>1600</x:v>
      </x:c>
      <x:c r="D5" s="59" t="n">
        <x:f>B5*C5</x:f>
        <x:v>6721.8085190427955</x:v>
      </x:c>
      <x:c r="E5" s="59" t="n">
        <x:v>736</x:v>
      </x:c>
      <x:c r="F5" s="59" t="n">
        <x:f>D5-E5</x:f>
        <x:v>5985.8085190427955</x:v>
      </x:c>
      <x:c r="G5" s="60" t="n">
        <x:v>2300047621</x:v>
      </x:c>
      <x:c r="H5" s="61" t="n">
        <x:f>F5*1000000/G5</x:f>
        <x:v>2.602471559454201</x:v>
      </x:c>
      <x:c r="I5" s="61" t="n">
        <x:v>4.26</x:v>
      </x:c>
      <x:c r="J5" s="62" t="n">
        <x:f>H5/I5-1</x:f>
        <x:v>-0.3890911832267133</x:v>
      </x:c>
      <x:c r="K5" s="46" t="str">
        <x:v>Median of Brazilian listed peers, including distressed GPA</x:v>
      </x:c>
    </x:row>
    <x:row r="6">
      <x:c r="A6" s="46" t="str">
        <x:v>Domestic Core Case</x:v>
      </x:c>
      <x:c r="B6" s="58" t="n">
        <x:v>6.104796544</x:v>
      </x:c>
      <x:c r="C6" s="59" t="n">
        <x:v>1600</x:v>
      </x:c>
      <x:c r="D6" s="59" t="n">
        <x:f>B6*C6</x:f>
        <x:v>9767.6744704</x:v>
      </x:c>
      <x:c r="E6" s="59" t="n">
        <x:v>736</x:v>
      </x:c>
      <x:c r="F6" s="59" t="n">
        <x:f>D6-E6</x:f>
        <x:v>9031.6744704</x:v>
      </x:c>
      <x:c r="G6" s="60" t="n">
        <x:v>2300047621</x:v>
      </x:c>
      <x:c r="H6" s="61" t="n">
        <x:f>F6*1000000/G6</x:f>
        <x:v>3.9267336849631254</x:v>
      </x:c>
      <x:c r="I6" s="61" t="n">
        <x:v>4.26</x:v>
      </x:c>
      <x:c r="J6" s="62" t="n">
        <x:f>H6/I6-1</x:f>
        <x:v>-0.078231529351379</x:v>
      </x:c>
      <x:c r="K6" s="46" t="str">
        <x:v>Assai-only case as closest domestic listed comparable</x:v>
      </x:c>
    </x:row>
    <x:row r="7">
      <x:c r="A7" s="46" t="str">
        <x:v>Expanded LatAm ex-Distressed Median</x:v>
      </x:c>
      <x:c r="B7" s="58" t="n">
        <x:v>7.398</x:v>
      </x:c>
      <x:c r="C7" s="59" t="n">
        <x:v>1600</x:v>
      </x:c>
      <x:c r="D7" s="59" t="n">
        <x:f>B7*C7</x:f>
        <x:v>11836.8</x:v>
      </x:c>
      <x:c r="E7" s="59" t="n">
        <x:v>736</x:v>
      </x:c>
      <x:c r="F7" s="59" t="n">
        <x:f>D7-E7</x:f>
        <x:v>11100.8</x:v>
      </x:c>
      <x:c r="G7" s="60" t="n">
        <x:v>2300047621</x:v>
      </x:c>
      <x:c r="H7" s="61" t="n">
        <x:f>F7*1000000/G7</x:f>
        <x:v>4.826334854394739</x:v>
      </x:c>
      <x:c r="I7" s="61" t="n">
        <x:v>4.26</x:v>
      </x:c>
      <x:c r="J7" s="62" t="n">
        <x:f>H7/I7-1</x:f>
        <x:v>0.1329424540832722</x:v>
      </x:c>
      <x:c r="K7" s="46" t="str">
        <x:v>Median of traded peers excluding distressed GPA and delisted Carrefour Brasil</x:v>
      </x:c>
    </x:row>
    <x:row r="8">
      <x:c r="A8" s="46" t="str">
        <x:v>Expanded LatAm including GPA Median</x:v>
      </x:c>
      <x:c r="B8" s="58" t="n">
        <x:v>7.307499999999999</x:v>
      </x:c>
      <x:c r="C8" s="59" t="n">
        <x:v>1600</x:v>
      </x:c>
      <x:c r="D8" s="59" t="n">
        <x:f>B8*C8</x:f>
        <x:v>11691.999999999998</x:v>
      </x:c>
      <x:c r="E8" s="59" t="n">
        <x:v>736</x:v>
      </x:c>
      <x:c r="F8" s="59" t="n">
        <x:f>D8-E8</x:f>
        <x:v>10955.999999999998</x:v>
      </x:c>
      <x:c r="G8" s="60" t="n">
        <x:v>2300047621</x:v>
      </x:c>
      <x:c r="H8" s="61" t="n">
        <x:f>F8*1000000/G8</x:f>
        <x:v>4.763379636129716</x:v>
      </x:c>
      <x:c r="I8" s="61" t="n">
        <x:v>4.26</x:v>
      </x:c>
      <x:c r="J8" s="62" t="n">
        <x:f>H8/I8-1</x:f>
        <x:v>0.11816423383326669</x:v>
      </x:c>
      <x:c r="K8" s="46" t="str">
        <x:v>Median of all traded peers, including GPA</x:v>
      </x:c>
    </x:row>
    <x:row r="9">
      <x:c r="A9" s="46" t="str">
        <x:v>Upside Case</x:v>
      </x:c>
      <x:c r="B9" s="58" t="n">
        <x:v>9.841</x:v>
      </x:c>
      <x:c r="C9" s="59" t="n">
        <x:v>1600</x:v>
      </x:c>
      <x:c r="D9" s="59" t="n">
        <x:f>B9*C9</x:f>
        <x:v>15745.599999999999</x:v>
      </x:c>
      <x:c r="E9" s="59" t="n">
        <x:v>736</x:v>
      </x:c>
      <x:c r="F9" s="59" t="n">
        <x:f>D9-E9</x:f>
        <x:v>15009.599999999999</x:v>
      </x:c>
      <x:c r="G9" s="60" t="n">
        <x:v>2300047621</x:v>
      </x:c>
      <x:c r="H9" s="61" t="n">
        <x:f>F9*1000000/G9</x:f>
        <x:v>6.525777928664894</x:v>
      </x:c>
      <x:c r="I9" s="61" t="n">
        <x:v>4.26</x:v>
      </x:c>
      <x:c r="J9" s="62" t="n">
        <x:f>H9/I9-1</x:f>
        <x:v>0.5318727532077216</x:v>
      </x:c>
      <x:c r="K9" s="46" t="str">
        <x:v>Higher of GMAT3 current EV/EBITDA and ex-distressed peer 75th percentile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290000915527344" hidden="0" customWidth="1"/>
    <x:col min="2" max="2" width="15.34000015258789" hidden="0" customWidth="1"/>
    <x:col min="3" max="3" width="15.34000015258789" hidden="0" customWidth="1"/>
    <x:col min="4" max="4" width="15.34000015258789" hidden="0" customWidth="1"/>
    <x:col min="5" max="5" width="12.880000114440918" hidden="0" customWidth="1"/>
    <x:col min="6" max="6" width="12.880000114440918" hidden="0" customWidth="1"/>
  </x:cols>
  <x:sheetData>
    <x:row r="1" ht="25.5" customHeight="1">
      <x:c r="A1" s="40" t="str">
        <x:v>Model Checks</x:v>
      </x:c>
      <x:c r="B1" s="40" t="str">
        <x:v>Model Checks</x:v>
      </x:c>
      <x:c r="C1" s="40" t="str">
        <x:v>Model Checks</x:v>
      </x:c>
      <x:c r="D1" s="40" t="str">
        <x:v>Model Checks</x:v>
      </x:c>
      <x:c r="E1" s="40" t="str">
        <x:v>Model Checks</x:v>
      </x:c>
      <x:c r="F1" s="40" t="str">
        <x:v>Model Checks</x:v>
      </x:c>
    </x:row>
    <x:row r="2">
      <x:c r="A2" s="41"/>
      <x:c r="B2" s="41"/>
      <x:c r="C2" s="41"/>
      <x:c r="D2" s="41"/>
      <x:c r="E2" s="41"/>
      <x:c r="F2" s="41"/>
    </x:row>
    <x:row r="3">
      <x:c r="A3" s="45" t="str">
        <x:v>Check</x:v>
      </x:c>
      <x:c r="B3" s="45" t="str">
        <x:v>Actual</x:v>
      </x:c>
      <x:c r="C3" s="45" t="str">
        <x:v>Expected</x:v>
      </x:c>
      <x:c r="D3" s="45" t="str">
        <x:v>Difference</x:v>
      </x:c>
      <x:c r="E3" s="45" t="str">
        <x:v>Tolerance</x:v>
      </x:c>
      <x:c r="F3" s="45" t="str">
        <x:v>Status</x:v>
      </x:c>
    </x:row>
    <x:row r="4">
      <x:c r="A4" s="41" t="str">
        <x:v>Target row exists</x:v>
      </x:c>
      <x:c r="B4" s="41" t="n">
        <x:v>1</x:v>
      </x:c>
      <x:c r="C4" s="41" t="n">
        <x:v>1</x:v>
      </x:c>
      <x:c r="D4" s="63" t="n">
        <x:f>B4-C4</x:f>
        <x:v>0</x:v>
      </x:c>
      <x:c r="E4" s="63" t="n">
        <x:v>0</x:v>
      </x:c>
      <x:c r="F4" s="41" t="str">
        <x:f>IF(ABS(D4)&lt;=E4,"OK","Review")</x:f>
        <x:v>OK</x:v>
      </x:c>
    </x:row>
    <x:row r="5">
      <x:c r="A5" s="41" t="str">
        <x:v>Share count available</x:v>
      </x:c>
      <x:c r="B5" s="41" t="n">
        <x:v>2300047621</x:v>
      </x:c>
      <x:c r="C5" s="41" t="n">
        <x:v>2300047621</x:v>
      </x:c>
      <x:c r="D5" s="63" t="n">
        <x:f>B5-C5</x:f>
        <x:v>0</x:v>
      </x:c>
      <x:c r="E5" s="63" t="n">
        <x:v>0</x:v>
      </x:c>
      <x:c r="F5" s="41" t="str">
        <x:f>IF(ABS(D5)&lt;=E5,"OK","Review")</x:f>
        <x:v>OK</x:v>
      </x:c>
    </x:row>
    <x:row r="6">
      <x:c r="A6" s="41" t="str">
        <x:v>Base fair price available</x:v>
      </x:c>
      <x:c r="B6" s="52" t="n">
        <x:v>4.826334854394739</x:v>
      </x:c>
      <x:c r="C6" s="52" t="n">
        <x:v>4.826334854394739</x:v>
      </x:c>
      <x:c r="D6" s="63" t="n">
        <x:f>B6-C6</x:f>
        <x:v>0</x:v>
      </x:c>
      <x:c r="E6" s="63" t="n">
        <x:v>0</x:v>
      </x:c>
      <x:c r="F6" s="41" t="str">
        <x:f>IF(ABS(D6)&lt;=E6,"OK","Review")</x:f>
        <x:v>OK</x:v>
      </x:c>
    </x:row>
    <x:row r="7">
      <x:c r="A7" s="41" t="str">
        <x:v>Scenario count</x:v>
      </x:c>
      <x:c r="B7" s="41" t="n">
        <x:v>6</x:v>
      </x:c>
      <x:c r="C7" s="41" t="n">
        <x:v>6</x:v>
      </x:c>
      <x:c r="D7" s="63" t="n">
        <x:f>B7-C7</x:f>
        <x:v>0</x:v>
      </x:c>
      <x:c r="E7" s="63" t="n">
        <x:v>0</x:v>
      </x:c>
      <x:c r="F7" s="41" t="str">
        <x:f>IF(ABS(D7)&lt;=E7,"OK","Review")</x:f>
        <x:v>OK</x:v>
      </x:c>
    </x:row>
    <x:row r="8">
      <x:c r="A8" s="41" t="str">
        <x:v>Expanded peer count ex target</x:v>
      </x:c>
      <x:c r="B8" s="41" t="n">
        <x:v>6</x:v>
      </x:c>
      <x:c r="C8" s="41" t="n">
        <x:v>6</x:v>
      </x:c>
      <x:c r="D8" s="63" t="n">
        <x:f>B8-C8</x:f>
        <x:v>0</x:v>
      </x:c>
      <x:c r="E8" s="63" t="n">
        <x:v>0</x:v>
      </x:c>
      <x:c r="F8" s="41" t="str">
        <x:f>IF(ABS(D8)&lt;=E8,"OK","Review")</x:f>
        <x:v>OK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33.7400016784668" hidden="0" customWidth="1"/>
    <x:col min="3" max="3" width="14.109999656677246" hidden="0" customWidth="1"/>
    <x:col min="4" max="4" width="16.559999465942383" hidden="0" customWidth="1"/>
    <x:col min="5" max="5" width="17.790000915527344" hidden="0" customWidth="1"/>
    <x:col min="6" max="6" width="50.91999816894531" hidden="0" customWidth="1"/>
  </x:cols>
  <x:sheetData>
    <x:row r="1" ht="25.5" customHeight="1">
      <x:c r="A1" s="40" t="str">
        <x:v>Sources and Audit Trail</x:v>
      </x:c>
      <x:c r="B1" s="40" t="str">
        <x:v>Sources and Audit Trail</x:v>
      </x:c>
      <x:c r="C1" s="40" t="str">
        <x:v>Sources and Audit Trail</x:v>
      </x:c>
      <x:c r="D1" s="40" t="str">
        <x:v>Sources and Audit Trail</x:v>
      </x:c>
      <x:c r="E1" s="40" t="str">
        <x:v>Sources and Audit Trail</x:v>
      </x:c>
      <x:c r="F1" s="40" t="str">
        <x:v>Sources and Audit Trail</x:v>
      </x:c>
    </x:row>
    <x:row r="2">
      <x:c r="A2" s="41"/>
      <x:c r="B2" s="41"/>
      <x:c r="C2" s="41"/>
      <x:c r="D2" s="41"/>
      <x:c r="E2" s="41"/>
      <x:c r="F2" s="41"/>
    </x:row>
    <x:row r="3">
      <x:c r="A3" s="45" t="str">
        <x:v>Item</x:v>
      </x:c>
      <x:c r="B3" s="45" t="str">
        <x:v>File / Source</x:v>
      </x:c>
      <x:c r="C3" s="45" t="str">
        <x:v>Period / As-of</x:v>
      </x:c>
      <x:c r="D3" s="45" t="str">
        <x:v>Units</x:v>
      </x:c>
      <x:c r="E3" s="45" t="str">
        <x:v>Use</x:v>
      </x:c>
      <x:c r="F3" s="45" t="str">
        <x:v>Notes</x:v>
      </x:c>
    </x:row>
    <x:row r="4">
      <x:c r="A4" s="46" t="str">
        <x:v>GMAT3/ASAI3/PCAR3 raw financials</x:v>
      </x:c>
      <x:c r="B4" s="46" t="str">
        <x:v>data/raw/peer_financials.csv</x:v>
      </x:c>
      <x:c r="C4" s="46" t="str">
        <x:v>1Q26</x:v>
      </x:c>
      <x:c r="D4" s="46" t="str">
        <x:v>BRL mn</x:v>
      </x:c>
      <x:c r="E4" s="46" t="str">
        <x:v>Notebook 01</x:v>
      </x:c>
      <x:c r="F4" s="46" t="str">
        <x:v>Company filings / ITR-style inputs</x:v>
      </x:c>
    </x:row>
    <x:row r="5">
      <x:c r="A5" s="46" t="str">
        <x:v>Processed valuation dataset</x:v>
      </x:c>
      <x:c r="B5" s="46" t="str">
        <x:v>data/processed/master_valuation_dataset.csv</x:v>
      </x:c>
      <x:c r="C5" s="46" t="str">
        <x:v>2026-05-28</x:v>
      </x:c>
      <x:c r="D5" s="46" t="str">
        <x:v>BRL mn except price/share</x:v>
      </x:c>
      <x:c r="E5" s="46" t="str">
        <x:v>Notebook 02 input</x:v>
      </x:c>
      <x:c r="F5" s="46" t="str">
        <x:v>Includes market cap, net debt, EV and EV/EBITDA</x:v>
      </x:c>
    </x:row>
    <x:row r="6">
      <x:c r="A6" s="46" t="str">
        <x:v>Peer universe</x:v>
      </x:c>
      <x:c r="B6" s="46" t="str">
        <x:v>data/raw/peer_universe.csv</x:v>
      </x:c>
      <x:c r="C6" s="46" t="str">
        <x:v>2026-05-30</x:v>
      </x:c>
      <x:c r="D6" s="46" t="str">
        <x:v>N/A</x:v>
      </x:c>
      <x:c r="E6" s="46" t="str">
        <x:v>Peer selection</x:v>
      </x:c>
      <x:c r="F6" s="46" t="str">
        <x:v>Defines inclusion/exclusion and peer quality</x:v>
      </x:c>
    </x:row>
    <x:row r="7">
      <x:c r="A7" s="46" t="str">
        <x:v>External LatAm multiples</x:v>
      </x:c>
      <x:c r="B7" s="46" t="str">
        <x:v>data/raw/external_peer_multiples.csv</x:v>
      </x:c>
      <x:c r="C7" s="46" t="str">
        <x:v>2026-05-30</x:v>
      </x:c>
      <x:c r="D7" s="46" t="str">
        <x:v>Local currency / multiples</x:v>
      </x:c>
      <x:c r="E7" s="46" t="str">
        <x:v>Expanded peers</x:v>
      </x:c>
      <x:c r="F7" s="46" t="str">
        <x:v>EV/EBITDA is currency-neutral</x:v>
      </x:c>
    </x:row>
    <x:row r="8">
      <x:c r="A8" s="46" t="str">
        <x:v>Carrefour Brasil treatment</x:v>
      </x:c>
      <x:c r="B8" s="46" t="str">
        <x:v>Company/B3 news and financial statements</x:v>
      </x:c>
      <x:c r="C8" s="46" t="str">
        <x:v>2025-2026</x:v>
      </x:c>
      <x:c r="D8" s="46" t="str">
        <x:v>N/A</x:v>
      </x:c>
      <x:c r="E8" s="46" t="str">
        <x:v>Peer exclusion</x:v>
      </x:c>
      <x:c r="F8" s="46" t="str">
        <x:v>Operational reference but excluded from trading comps after delisting</x:v>
      </x:c>
    </x:row>
    <x:row r="9">
      <x:c r="A9" s="46" t="str">
        <x:v>Valuation scenarios</x:v>
      </x:c>
      <x:c r="B9" s="46" t="str">
        <x:v>outputs/gmat3_relative_valuation_scenarios.csv</x:v>
      </x:c>
      <x:c r="C9" s="46" t="str">
        <x:v>Current model</x:v>
      </x:c>
      <x:c r="D9" s="46" t="str">
        <x:v>BRL mn / BRL per share</x:v>
      </x:c>
      <x:c r="E9" s="46" t="str">
        <x:v>Executive output</x:v>
      </x:c>
      <x:c r="F9" s="46" t="str">
        <x:v>Range, not final recommendation</x:v>
      </x:c>
    </x:row>
    <x:row r="10">
      <x:c r="A10" s="46" t="str">
        <x:v>Current positioning</x:v>
      </x:c>
      <x:c r="B10" s="46" t="str">
        <x:v>outputs/current_market_positioning.csv</x:v>
      </x:c>
      <x:c r="C10" s="46" t="str">
        <x:v>Current model</x:v>
      </x:c>
      <x:c r="D10" s="46" t="str">
        <x:v>EV/EBITDA</x:v>
      </x:c>
      <x:c r="E10" s="46" t="str">
        <x:v>Spread analysis</x:v>
      </x:c>
      <x:c r="F10" s="46" t="str">
        <x:v>Compares GMAT3 against peer multiples</x:v>
      </x:c>
    </x:row>
    <x:row r="11">
      <x:c r="A11" s="46" t="str">
        <x:v>Key limitation</x:v>
      </x:c>
      <x:c r="B11" s="46" t="str">
        <x:v>Analyst judgment</x:v>
      </x:c>
      <x:c r="C11" s="46" t="str">
        <x:v>Current model</x:v>
      </x:c>
      <x:c r="D11" s="46" t="str">
        <x:v>N/A</x:v>
      </x:c>
      <x:c r="E11" s="46" t="str">
        <x:v>Interpretation</x:v>
      </x:c>
      <x:c r="F11" s="46" t="str">
        <x:v>1Q26 EBITDA annualization should be replaced with LTM EBITDA</x:v>
      </x:c>
    </x:row>
    <x:row r="12">
      <x:c r="A12" s="46" t="str">
        <x:v>Final framing</x:v>
      </x:c>
      <x:c r="B12" s="46" t="str">
        <x:v>Analyst judgment</x:v>
      </x:c>
      <x:c r="C12" s="46" t="str">
        <x:v>Current model</x:v>
      </x:c>
      <x:c r="D12" s="46" t="str">
        <x:v>N/A</x:v>
      </x:c>
      <x:c r="E12" s="46" t="str">
        <x:v>Slide thesis</x:v>
      </x:c>
      <x:c r="F12" s="46" t="str">
        <x:v>Constructive valuation range, not a hard buy/sell recommendation</x:v>
      </x:c>
    </x:row>
  </x:sheetData>
  <x:mergeCells>
    <x:mergeCell ref="A1:F1"/>
  </x:mergeCells>
  <x:pageMargins left="0.7" right="0.7" top="0.75" bottom="0.75" header="0.3" footer="0.3"/>
</x:worksheet>
</file>